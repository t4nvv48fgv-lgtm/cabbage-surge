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T\Desktop\수급사업부\판매 참고자료\수매방출자료\"/>
    </mc:Choice>
  </mc:AlternateContent>
  <xr:revisionPtr revIDLastSave="0" documentId="13_ncr:1_{9CE2CB62-BB8C-4E78-A3D5-7BC500F76481}" xr6:coauthVersionLast="36" xr6:coauthVersionMax="36" xr10:uidLastSave="{00000000-0000-0000-0000-000000000000}"/>
  <bookViews>
    <workbookView xWindow="0" yWindow="1530" windowWidth="23040" windowHeight="10770" xr2:uid="{00000000-000D-0000-FFFF-FFFF00000000}"/>
  </bookViews>
  <sheets>
    <sheet name="배추" sheetId="8" r:id="rId1"/>
    <sheet name="무" sheetId="10" r:id="rId2"/>
    <sheet name="마늘" sheetId="6" state="hidden" r:id="rId3"/>
    <sheet name="양파" sheetId="7" state="hidden" r:id="rId4"/>
    <sheet name="고추" sheetId="4" state="hidden" r:id="rId5"/>
    <sheet name="수매실적" sheetId="1" state="hidden" r:id="rId6"/>
  </sheets>
  <definedNames>
    <definedName name="_xlnm._FilterDatabase" localSheetId="4" hidden="1">고추!$A$3:$R$3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8" l="1"/>
  <c r="E8" i="8" l="1"/>
  <c r="H7" i="8" l="1"/>
  <c r="E30" i="1" l="1"/>
  <c r="E18" i="1"/>
  <c r="E13" i="1"/>
  <c r="E8" i="1"/>
  <c r="Q25" i="6"/>
  <c r="N25" i="6"/>
  <c r="L25" i="6"/>
  <c r="J25" i="6"/>
  <c r="E25" i="6"/>
  <c r="Q25" i="7"/>
  <c r="N25" i="7"/>
  <c r="L25" i="7"/>
  <c r="J25" i="7"/>
  <c r="E25" i="7"/>
  <c r="Q25" i="4"/>
  <c r="N25" i="4"/>
  <c r="L25" i="4"/>
  <c r="J25" i="4"/>
  <c r="E25" i="4"/>
  <c r="E20" i="1" l="1"/>
  <c r="E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7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공매</t>
        </r>
        <r>
          <rPr>
            <sz val="9"/>
            <color indexed="81"/>
            <rFont val="Tahoma"/>
            <family val="2"/>
          </rPr>
          <t xml:space="preserve">        999,780
</t>
        </r>
        <r>
          <rPr>
            <sz val="9"/>
            <color indexed="81"/>
            <rFont val="돋움"/>
            <family val="3"/>
            <charset val="129"/>
          </rPr>
          <t>반품</t>
        </r>
        <r>
          <rPr>
            <sz val="9"/>
            <color indexed="81"/>
            <rFont val="Tahoma"/>
            <family val="2"/>
          </rPr>
          <t xml:space="preserve">       (554,416)
               =====
              445,364</t>
        </r>
      </text>
    </comment>
    <comment ref="K7" authorId="0" shapeId="0" xr:uid="{00000000-0006-0000-0000-000002000000}">
      <text>
        <r>
          <rPr>
            <sz val="12"/>
            <color indexed="81"/>
            <rFont val="돋움"/>
            <family val="3"/>
            <charset val="129"/>
          </rPr>
          <t>반품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제외</t>
        </r>
      </text>
    </comment>
    <comment ref="F12" authorId="0" shapeId="0" xr:uid="{00000000-0006-0000-0000-000003000000}">
      <text>
        <r>
          <rPr>
            <sz val="11"/>
            <color indexed="81"/>
            <rFont val="Tahoma"/>
            <family val="2"/>
          </rPr>
          <t xml:space="preserve">ISP </t>
        </r>
        <r>
          <rPr>
            <sz val="11"/>
            <color indexed="81"/>
            <rFont val="돋움"/>
            <family val="3"/>
            <charset val="129"/>
          </rPr>
          <t>상</t>
        </r>
        <r>
          <rPr>
            <sz val="11"/>
            <color indexed="81"/>
            <rFont val="Tahoma"/>
            <family val="2"/>
          </rPr>
          <t xml:space="preserve"> 107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직상장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판매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처리됨</t>
        </r>
      </text>
    </comment>
    <comment ref="H17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직배</t>
        </r>
        <r>
          <rPr>
            <sz val="9"/>
            <color indexed="81"/>
            <rFont val="Tahoma"/>
            <family val="2"/>
          </rPr>
          <t xml:space="preserve">        368,018
</t>
        </r>
        <r>
          <rPr>
            <sz val="9"/>
            <color indexed="81"/>
            <rFont val="돋움"/>
            <family val="3"/>
            <charset val="129"/>
          </rPr>
          <t>반품</t>
        </r>
        <r>
          <rPr>
            <sz val="9"/>
            <color indexed="81"/>
            <rFont val="Tahoma"/>
            <family val="2"/>
          </rPr>
          <t xml:space="preserve">         (8,434)
</t>
        </r>
      </text>
    </comment>
    <comment ref="H24" authorId="0" shapeId="0" xr:uid="{00000000-0006-0000-0000-000005000000}">
      <text>
        <r>
          <rPr>
            <sz val="11"/>
            <color indexed="81"/>
            <rFont val="Tahoma"/>
            <family val="2"/>
          </rPr>
          <t xml:space="preserve">120,000 </t>
        </r>
        <r>
          <rPr>
            <sz val="11"/>
            <color indexed="81"/>
            <rFont val="돋움"/>
            <family val="3"/>
            <charset val="129"/>
          </rPr>
          <t>판매되었으나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Tahoma"/>
            <family val="2"/>
          </rPr>
          <t xml:space="preserve">40,154 </t>
        </r>
        <r>
          <rPr>
            <b/>
            <sz val="11"/>
            <color indexed="81"/>
            <rFont val="돋움"/>
            <family val="3"/>
            <charset val="129"/>
          </rPr>
          <t>반품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처리됨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H30" authorId="0" shapeId="0" xr:uid="{00000000-0006-0000-0000-000006000000}">
      <text>
        <r>
          <rPr>
            <sz val="11"/>
            <color indexed="81"/>
            <rFont val="돋움"/>
            <family val="3"/>
            <charset val="129"/>
          </rPr>
          <t>직배</t>
        </r>
        <r>
          <rPr>
            <sz val="11"/>
            <color indexed="81"/>
            <rFont val="Tahoma"/>
            <family val="2"/>
          </rPr>
          <t xml:space="preserve"> 606
</t>
        </r>
        <r>
          <rPr>
            <sz val="11"/>
            <color indexed="81"/>
            <rFont val="돋움"/>
            <family val="3"/>
            <charset val="129"/>
          </rPr>
          <t>수출용공급</t>
        </r>
        <r>
          <rPr>
            <sz val="11"/>
            <color indexed="81"/>
            <rFont val="Tahoma"/>
            <family val="2"/>
          </rPr>
          <t xml:space="preserve"> 277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6" authorId="0" shapeId="0" xr:uid="{A80AE389-F4E4-4293-9523-9917AC553BB8}">
      <text>
        <r>
          <rPr>
            <b/>
            <sz val="10"/>
            <color indexed="81"/>
            <rFont val="돋움"/>
            <family val="3"/>
            <charset val="129"/>
          </rPr>
          <t>단수조정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올림</t>
        </r>
      </text>
    </comment>
    <comment ref="E16" authorId="0" shapeId="0" xr:uid="{1F863222-A3BD-4EC1-99EB-ED0945925903}">
      <text>
        <r>
          <rPr>
            <b/>
            <sz val="9"/>
            <color indexed="81"/>
            <rFont val="Tahoma"/>
            <family val="2"/>
          </rPr>
          <t>2,800,720kg</t>
        </r>
      </text>
    </comment>
    <comment ref="H23" authorId="0" shapeId="0" xr:uid="{C740DCB6-8565-42E4-8FBF-F10CEC7EA1AF}">
      <text>
        <r>
          <rPr>
            <sz val="11"/>
            <color indexed="81"/>
            <rFont val="돋움"/>
            <family val="3"/>
            <charset val="129"/>
          </rPr>
          <t>직배</t>
        </r>
        <r>
          <rPr>
            <sz val="11"/>
            <color indexed="81"/>
            <rFont val="Tahoma"/>
            <family val="2"/>
          </rPr>
          <t xml:space="preserve"> 241
</t>
        </r>
        <r>
          <rPr>
            <sz val="11"/>
            <color indexed="81"/>
            <rFont val="돋움"/>
            <family val="3"/>
            <charset val="129"/>
          </rPr>
          <t>대형마트</t>
        </r>
        <r>
          <rPr>
            <sz val="11"/>
            <color indexed="81"/>
            <rFont val="Tahoma"/>
            <family val="2"/>
          </rPr>
          <t xml:space="preserve"> 574</t>
        </r>
      </text>
    </comment>
  </commentList>
</comments>
</file>

<file path=xl/sharedStrings.xml><?xml version="1.0" encoding="utf-8"?>
<sst xmlns="http://schemas.openxmlformats.org/spreadsheetml/2006/main" count="549" uniqueCount="282">
  <si>
    <t>월동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</si>
  <si>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</si>
  <si>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</si>
  <si>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</si>
  <si>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배추</t>
    <phoneticPr fontId="1" type="noConversion"/>
  </si>
  <si>
    <t>기간</t>
    <phoneticPr fontId="1" type="noConversion"/>
  </si>
  <si>
    <t>수매물량
(톤)</t>
    <phoneticPr fontId="1" type="noConversion"/>
  </si>
  <si>
    <t>무</t>
    <phoneticPr fontId="1" type="noConversion"/>
  </si>
  <si>
    <t>3.26~4.19</t>
    <phoneticPr fontId="1" type="noConversion"/>
  </si>
  <si>
    <t>연도</t>
    <phoneticPr fontId="1" type="noConversion"/>
  </si>
  <si>
    <t>작기</t>
    <phoneticPr fontId="1" type="noConversion"/>
  </si>
  <si>
    <t>6.24~7.23</t>
    <phoneticPr fontId="1" type="noConversion"/>
  </si>
  <si>
    <t>6.19~7.26</t>
    <phoneticPr fontId="1" type="noConversion"/>
  </si>
  <si>
    <t>7.26~8.23</t>
    <phoneticPr fontId="1" type="noConversion"/>
  </si>
  <si>
    <t>10.20~11.30</t>
    <phoneticPr fontId="1" type="noConversion"/>
  </si>
  <si>
    <t>11.1~11.15</t>
    <phoneticPr fontId="1" type="noConversion"/>
  </si>
  <si>
    <t>21.12.16~'22.1.15</t>
    <phoneticPr fontId="1" type="noConversion"/>
  </si>
  <si>
    <t>1.1~1.18</t>
    <phoneticPr fontId="1" type="noConversion"/>
  </si>
  <si>
    <t>-</t>
    <phoneticPr fontId="1" type="noConversion"/>
  </si>
  <si>
    <t>20.12.11~'21.1.10</t>
    <phoneticPr fontId="1" type="noConversion"/>
  </si>
  <si>
    <t>20.12.18~'21.1.15</t>
    <phoneticPr fontId="1" type="noConversion"/>
  </si>
  <si>
    <t>7.7~10.30</t>
    <phoneticPr fontId="1" type="noConversion"/>
  </si>
  <si>
    <t>7.6~8.10</t>
    <phoneticPr fontId="1" type="noConversion"/>
  </si>
  <si>
    <t>10.27~12.11</t>
    <phoneticPr fontId="1" type="noConversion"/>
  </si>
  <si>
    <t>11.6~11.27</t>
    <phoneticPr fontId="1" type="noConversion"/>
  </si>
  <si>
    <t>6.3~6.29</t>
    <phoneticPr fontId="1" type="noConversion"/>
  </si>
  <si>
    <t>18.11.20~'19.2.17</t>
    <phoneticPr fontId="1" type="noConversion"/>
  </si>
  <si>
    <t>18.12.8~'19.1.31</t>
    <phoneticPr fontId="1" type="noConversion"/>
  </si>
  <si>
    <t>6.5~9.22</t>
    <phoneticPr fontId="1" type="noConversion"/>
  </si>
  <si>
    <t>8.29~9.22</t>
    <phoneticPr fontId="1" type="noConversion"/>
  </si>
  <si>
    <t>17.12.22~'18.2.28</t>
    <phoneticPr fontId="1" type="noConversion"/>
  </si>
  <si>
    <t>17.12.22~'18.3.6</t>
    <phoneticPr fontId="1" type="noConversion"/>
  </si>
  <si>
    <t>09.11~11.27</t>
    <phoneticPr fontId="1" type="noConversion"/>
  </si>
  <si>
    <t>9.4~10.2</t>
    <phoneticPr fontId="1" type="noConversion"/>
  </si>
  <si>
    <t>6.2~7.18</t>
    <phoneticPr fontId="1" type="noConversion"/>
  </si>
  <si>
    <t>6.26~8.3</t>
    <phoneticPr fontId="1" type="noConversion"/>
  </si>
  <si>
    <t>16.11.18~'17.2.20</t>
    <phoneticPr fontId="1" type="noConversion"/>
  </si>
  <si>
    <t>1.5~2.28</t>
    <phoneticPr fontId="1" type="noConversion"/>
  </si>
  <si>
    <t>수매목적</t>
    <phoneticPr fontId="1" type="noConversion"/>
  </si>
  <si>
    <t>상장</t>
    <phoneticPr fontId="1" type="noConversion"/>
  </si>
  <si>
    <t>직배</t>
    <phoneticPr fontId="1" type="noConversion"/>
  </si>
  <si>
    <t>물량(톤)</t>
    <phoneticPr fontId="1" type="noConversion"/>
  </si>
  <si>
    <t>금액(백만원)</t>
    <phoneticPr fontId="1" type="noConversion"/>
  </si>
  <si>
    <t>수매단가
(원/Kg)</t>
    <phoneticPr fontId="1" type="noConversion"/>
  </si>
  <si>
    <t>-</t>
    <phoneticPr fontId="1" type="noConversion"/>
  </si>
  <si>
    <t>2.21~2.28</t>
  </si>
  <si>
    <t>기상악화에 따른 수급불안 대비</t>
    <phoneticPr fontId="1" type="noConversion"/>
  </si>
  <si>
    <t>공급과잉 해소</t>
    <phoneticPr fontId="1" type="noConversion"/>
  </si>
  <si>
    <t xml:space="preserve">작황부진 및 수급불안 대비 </t>
    <phoneticPr fontId="1" type="noConversion"/>
  </si>
  <si>
    <t>가격지지 및 기상이변 대비</t>
    <phoneticPr fontId="1" type="noConversion"/>
  </si>
  <si>
    <t>가격지지 및 하절기 수급불안 대비</t>
    <phoneticPr fontId="1" type="noConversion"/>
  </si>
  <si>
    <t>작황부진에 따른 가격지지</t>
    <phoneticPr fontId="1" type="noConversion"/>
  </si>
  <si>
    <t>하절기 수급불안 대비</t>
    <phoneticPr fontId="1" type="noConversion"/>
  </si>
  <si>
    <t>기상악화 및 설 성수품 대비</t>
    <phoneticPr fontId="1" type="noConversion"/>
  </si>
  <si>
    <t>단경기 공급부족 대비</t>
    <phoneticPr fontId="1" type="noConversion"/>
  </si>
  <si>
    <t>김장철 수요확대 대비</t>
    <phoneticPr fontId="1" type="noConversion"/>
  </si>
  <si>
    <t>동절기 수급불안 대비</t>
    <phoneticPr fontId="1" type="noConversion"/>
  </si>
  <si>
    <t>기상악화에 따른 수급불안 대비</t>
    <phoneticPr fontId="1" type="noConversion"/>
  </si>
  <si>
    <t>하절기 수급불안 대비</t>
    <phoneticPr fontId="1" type="noConversion"/>
  </si>
  <si>
    <t>공급과잉 해소 및 가격지지</t>
    <phoneticPr fontId="1" type="noConversion"/>
  </si>
  <si>
    <t>가격지지 및 기상이변 대비</t>
    <phoneticPr fontId="1" type="noConversion"/>
  </si>
  <si>
    <t>하절기 수급불안 대비</t>
    <phoneticPr fontId="1" type="noConversion"/>
  </si>
  <si>
    <t>가격지지 및 김장철 수요 대비</t>
    <phoneticPr fontId="1" type="noConversion"/>
  </si>
  <si>
    <t>작황부진에 따른 가격지지</t>
    <phoneticPr fontId="1" type="noConversion"/>
  </si>
  <si>
    <t>기상이변 및 설 성수품 수요 대비</t>
    <phoneticPr fontId="1" type="noConversion"/>
  </si>
  <si>
    <t>작황호조에 따른 가격지지</t>
    <phoneticPr fontId="1" type="noConversion"/>
  </si>
  <si>
    <t>김장철 수요 대비</t>
    <phoneticPr fontId="1" type="noConversion"/>
  </si>
  <si>
    <t>동절기 수급불안 대비</t>
    <phoneticPr fontId="1" type="noConversion"/>
  </si>
  <si>
    <t>퇴비화</t>
    <phoneticPr fontId="1" type="noConversion"/>
  </si>
  <si>
    <t>수매</t>
    <phoneticPr fontId="1" type="noConversion"/>
  </si>
  <si>
    <t>시기</t>
    <phoneticPr fontId="1" type="noConversion"/>
  </si>
  <si>
    <t>폐기</t>
    <phoneticPr fontId="1" type="noConversion"/>
  </si>
  <si>
    <t>기타</t>
    <phoneticPr fontId="1" type="noConversion"/>
  </si>
  <si>
    <t>단가(원/kg)</t>
    <phoneticPr fontId="1" type="noConversion"/>
  </si>
  <si>
    <t>목적</t>
    <phoneticPr fontId="1" type="noConversion"/>
  </si>
  <si>
    <t>비고</t>
    <phoneticPr fontId="1" type="noConversion"/>
  </si>
  <si>
    <t>방법</t>
    <phoneticPr fontId="1" type="noConversion"/>
  </si>
  <si>
    <t>월</t>
    <phoneticPr fontId="1" type="noConversion"/>
  </si>
  <si>
    <t>수매</t>
    <phoneticPr fontId="1" type="noConversion"/>
  </si>
  <si>
    <t>겨울</t>
    <phoneticPr fontId="1" type="noConversion"/>
  </si>
  <si>
    <t>공매</t>
    <phoneticPr fontId="1" type="noConversion"/>
  </si>
  <si>
    <t>*가을</t>
    <phoneticPr fontId="1" type="noConversion"/>
  </si>
  <si>
    <t>*월동</t>
    <phoneticPr fontId="1" type="noConversion"/>
  </si>
  <si>
    <t>퇴비화</t>
    <phoneticPr fontId="1" type="noConversion"/>
  </si>
  <si>
    <t>기간(출고기준)</t>
    <phoneticPr fontId="1" type="noConversion"/>
  </si>
  <si>
    <t>'20.9.18~'20.10.30.</t>
    <phoneticPr fontId="1" type="noConversion"/>
  </si>
  <si>
    <t>'20.7.7.~'20.8.13.</t>
    <phoneticPr fontId="1" type="noConversion"/>
  </si>
  <si>
    <t>'19.10.27.~'19.12.11.</t>
    <phoneticPr fontId="1" type="noConversion"/>
  </si>
  <si>
    <t>'19.6.3.~'19.6.29.</t>
    <phoneticPr fontId="1" type="noConversion"/>
  </si>
  <si>
    <t>'18.12.27.~'19.1.31.</t>
    <phoneticPr fontId="1" type="noConversion"/>
  </si>
  <si>
    <t>'18.12.8.~'18.12.18.</t>
    <phoneticPr fontId="1" type="noConversion"/>
  </si>
  <si>
    <t>'17.12.22.~'18.2.28.</t>
    <phoneticPr fontId="1" type="noConversion"/>
  </si>
  <si>
    <t>'17.9.4.~.17.10.2.</t>
    <phoneticPr fontId="1" type="noConversion"/>
  </si>
  <si>
    <t>'19.6.27.~7.18.</t>
    <phoneticPr fontId="1" type="noConversion"/>
  </si>
  <si>
    <t>'19.8.30.~10.29.</t>
    <phoneticPr fontId="1" type="noConversion"/>
  </si>
  <si>
    <t>'19.12.02.~12.24.</t>
    <phoneticPr fontId="1" type="noConversion"/>
  </si>
  <si>
    <t>20.12.11.~'21.2.9.</t>
    <phoneticPr fontId="1" type="noConversion"/>
  </si>
  <si>
    <t>'21.6.24.~7.23.</t>
    <phoneticPr fontId="1" type="noConversion"/>
  </si>
  <si>
    <t>'21.7.26.~8.23.</t>
    <phoneticPr fontId="1" type="noConversion"/>
  </si>
  <si>
    <t>'21.7.10.~8.1.</t>
    <phoneticPr fontId="1" type="noConversion"/>
  </si>
  <si>
    <t>'21.10.4.~1.18.</t>
    <phoneticPr fontId="1" type="noConversion"/>
  </si>
  <si>
    <t>'21.11.1.~11.26.</t>
    <phoneticPr fontId="1" type="noConversion"/>
  </si>
  <si>
    <t>'21.12.16.~'22.1.5.</t>
    <phoneticPr fontId="1" type="noConversion"/>
  </si>
  <si>
    <t>'21.10.22~12.4.</t>
    <phoneticPr fontId="1" type="noConversion"/>
  </si>
  <si>
    <t>'17.1.4.~'17.2.27.</t>
    <phoneticPr fontId="1" type="noConversion"/>
  </si>
  <si>
    <t>'17.5.29.~'17.8.29</t>
    <phoneticPr fontId="1" type="noConversion"/>
  </si>
  <si>
    <t>'18.6.5.~'18.7.5.</t>
    <phoneticPr fontId="1" type="noConversion"/>
  </si>
  <si>
    <t>'18.8.28.~'18.9.22</t>
    <phoneticPr fontId="1" type="noConversion"/>
  </si>
  <si>
    <t>&lt;상시비축 작기구분 기준&gt;
배추 : 겨울(1~3), 봄(4~7), 여름(8~10), 가을(11~12)</t>
    <phoneticPr fontId="1" type="noConversion"/>
  </si>
  <si>
    <t>고랭지</t>
    <phoneticPr fontId="1" type="noConversion"/>
  </si>
  <si>
    <t>22.10.16~11.16.</t>
    <phoneticPr fontId="1" type="noConversion"/>
  </si>
  <si>
    <t>22.6.17.~9.5.</t>
    <phoneticPr fontId="1" type="noConversion"/>
  </si>
  <si>
    <t>22.9.6.~9.21</t>
    <phoneticPr fontId="1" type="noConversion"/>
  </si>
  <si>
    <t>22.9.22.~9.28</t>
    <phoneticPr fontId="1" type="noConversion"/>
  </si>
  <si>
    <t>22.9.21~10.20.</t>
    <phoneticPr fontId="1" type="noConversion"/>
  </si>
  <si>
    <t>22.8.30.~10.22.</t>
    <phoneticPr fontId="1" type="noConversion"/>
  </si>
  <si>
    <t>22.7.7~7.29.</t>
    <phoneticPr fontId="1" type="noConversion"/>
  </si>
  <si>
    <t>22.9.21.~10.20.</t>
    <phoneticPr fontId="1" type="noConversion"/>
  </si>
  <si>
    <t>22.7.13.~9.7.</t>
    <phoneticPr fontId="1" type="noConversion"/>
  </si>
  <si>
    <t>22.8.16.~9.17.</t>
    <phoneticPr fontId="1" type="noConversion"/>
  </si>
  <si>
    <t>22.10.16.~11.15.</t>
    <phoneticPr fontId="1" type="noConversion"/>
  </si>
  <si>
    <t>22.9.6.~9.21.</t>
    <phoneticPr fontId="1" type="noConversion"/>
  </si>
  <si>
    <t>22.9.22.~9.28.</t>
    <phoneticPr fontId="1" type="noConversion"/>
  </si>
  <si>
    <t>22.1.19.~5.3.</t>
    <phoneticPr fontId="1" type="noConversion"/>
  </si>
  <si>
    <t>22.5.23.~5.26.</t>
    <phoneticPr fontId="1" type="noConversion"/>
  </si>
  <si>
    <t>21.4.4.~4.11.</t>
    <phoneticPr fontId="1" type="noConversion"/>
  </si>
  <si>
    <t>21.2.21.~4.19.</t>
    <phoneticPr fontId="1" type="noConversion"/>
  </si>
  <si>
    <t>21.11.5.~22.1.24.</t>
    <phoneticPr fontId="1" type="noConversion"/>
  </si>
  <si>
    <t>22.2.3.~2.4</t>
    <phoneticPr fontId="1" type="noConversion"/>
  </si>
  <si>
    <t>20.9.18.~10.30.</t>
    <phoneticPr fontId="1" type="noConversion"/>
  </si>
  <si>
    <t>20.8.8.~9.8.</t>
    <phoneticPr fontId="1" type="noConversion"/>
  </si>
  <si>
    <t>20.3.30.~5.4.</t>
    <phoneticPr fontId="1" type="noConversion"/>
  </si>
  <si>
    <t>19.11.22.~20.2.2.</t>
    <phoneticPr fontId="1" type="noConversion"/>
  </si>
  <si>
    <t>19.9.19.~10.6.</t>
    <phoneticPr fontId="1" type="noConversion"/>
  </si>
  <si>
    <t>18.8.29.~9.22.</t>
    <phoneticPr fontId="1" type="noConversion"/>
  </si>
  <si>
    <t>18.8.28.</t>
    <phoneticPr fontId="1" type="noConversion"/>
  </si>
  <si>
    <t>17.9.7.~10.10.</t>
    <phoneticPr fontId="1" type="noConversion"/>
  </si>
  <si>
    <t>18.1.11.~2.13.</t>
    <phoneticPr fontId="1" type="noConversion"/>
  </si>
  <si>
    <t>23.2.15.~2.16.</t>
    <phoneticPr fontId="1" type="noConversion"/>
  </si>
  <si>
    <t>19.9.22.~10.28.</t>
    <phoneticPr fontId="1" type="noConversion"/>
  </si>
  <si>
    <t>19.7.9.~8.7.</t>
    <phoneticPr fontId="1" type="noConversion"/>
  </si>
  <si>
    <t>18.7.18.~7.24.</t>
    <phoneticPr fontId="1" type="noConversion"/>
  </si>
  <si>
    <t>18.7.11.~8.13.</t>
    <phoneticPr fontId="1" type="noConversion"/>
  </si>
  <si>
    <t>18.1.11.~5.19.</t>
    <phoneticPr fontId="1" type="noConversion"/>
  </si>
  <si>
    <t>17.6.8.~8.30.</t>
    <phoneticPr fontId="1" type="noConversion"/>
  </si>
  <si>
    <t>17.5.29.~7.28.</t>
    <phoneticPr fontId="1" type="noConversion"/>
  </si>
  <si>
    <t>20.9.17.~9.24.</t>
    <phoneticPr fontId="1" type="noConversion"/>
  </si>
  <si>
    <t>17.1.11.~6.16.</t>
    <phoneticPr fontId="1" type="noConversion"/>
  </si>
  <si>
    <t>17.1.18.~3.22.</t>
    <phoneticPr fontId="1" type="noConversion"/>
  </si>
  <si>
    <t>17.4.20.~5.12.</t>
    <phoneticPr fontId="1" type="noConversion"/>
  </si>
  <si>
    <t>20.11.24.~12.30</t>
    <phoneticPr fontId="1" type="noConversion"/>
  </si>
  <si>
    <t>'21.4.27.~8.21</t>
    <phoneticPr fontId="1" type="noConversion"/>
  </si>
  <si>
    <t>21.'2.21~2.28.</t>
    <phoneticPr fontId="1" type="noConversion"/>
  </si>
  <si>
    <t>22.12.7~23.1.11</t>
    <phoneticPr fontId="1" type="noConversion"/>
  </si>
  <si>
    <t>23.5.23~7.3</t>
    <phoneticPr fontId="1" type="noConversion"/>
  </si>
  <si>
    <t>23.3.29 / 23.5.3~5.22</t>
    <phoneticPr fontId="1" type="noConversion"/>
  </si>
  <si>
    <t>23.3.27~4.13 / 5.10~5.23</t>
    <phoneticPr fontId="1" type="noConversion"/>
  </si>
  <si>
    <t>봄</t>
    <phoneticPr fontId="1" type="noConversion"/>
  </si>
  <si>
    <t>여름</t>
    <phoneticPr fontId="1" type="noConversion"/>
  </si>
  <si>
    <t>23.7.20~9.23</t>
    <phoneticPr fontId="1" type="noConversion"/>
  </si>
  <si>
    <t>23.6.18~8.28</t>
    <phoneticPr fontId="1" type="noConversion"/>
  </si>
  <si>
    <t>23.9.6~9.26</t>
    <phoneticPr fontId="1" type="noConversion"/>
  </si>
  <si>
    <t>23.6.5~7.10</t>
    <phoneticPr fontId="1" type="noConversion"/>
  </si>
  <si>
    <t>23.10.15~10.27</t>
    <phoneticPr fontId="1" type="noConversion"/>
  </si>
  <si>
    <t>23.10.26~11.2</t>
    <phoneticPr fontId="1" type="noConversion"/>
  </si>
  <si>
    <t>판매</t>
    <phoneticPr fontId="1" type="noConversion"/>
  </si>
  <si>
    <t>24.7.3~8.30</t>
    <phoneticPr fontId="1" type="noConversion"/>
  </si>
  <si>
    <t>24.6.11~9.11</t>
    <phoneticPr fontId="1" type="noConversion"/>
  </si>
  <si>
    <t>24.5.7~5.21</t>
    <phoneticPr fontId="1" type="noConversion"/>
  </si>
  <si>
    <t>24.1.31~5.9</t>
    <phoneticPr fontId="1" type="noConversion"/>
  </si>
  <si>
    <t>24.1.19~3.1</t>
    <phoneticPr fontId="1" type="noConversion"/>
  </si>
  <si>
    <t>24.11.26~3.5</t>
    <phoneticPr fontId="1" type="noConversion"/>
  </si>
  <si>
    <t>저장품 인수</t>
    <phoneticPr fontId="1" type="noConversion"/>
  </si>
  <si>
    <t>24.1.22~2.21</t>
    <phoneticPr fontId="1" type="noConversion"/>
  </si>
  <si>
    <t>23.11.24~12.12</t>
    <phoneticPr fontId="1" type="noConversion"/>
  </si>
  <si>
    <t>23.11.30~12.8</t>
    <phoneticPr fontId="1" type="noConversion"/>
  </si>
  <si>
    <t>23.10.17~10.22</t>
    <phoneticPr fontId="1" type="noConversion"/>
  </si>
  <si>
    <t>23.7.12~8.7</t>
    <phoneticPr fontId="1" type="noConversion"/>
  </si>
  <si>
    <t>23.7.30~9.1</t>
    <phoneticPr fontId="1" type="noConversion"/>
  </si>
  <si>
    <t>23.6.22~7.9</t>
    <phoneticPr fontId="1" type="noConversion"/>
  </si>
  <si>
    <t>23.7.20~8.23</t>
    <phoneticPr fontId="1" type="noConversion"/>
  </si>
  <si>
    <t>23.6.12~7.7</t>
    <phoneticPr fontId="1" type="noConversion"/>
  </si>
  <si>
    <t>23.5.3~5.12 / 6.1~6.26</t>
    <phoneticPr fontId="1" type="noConversion"/>
  </si>
  <si>
    <t>23.4.26~6.26</t>
    <phoneticPr fontId="1" type="noConversion"/>
  </si>
  <si>
    <t>23.3.12~4.1</t>
    <phoneticPr fontId="1" type="noConversion"/>
  </si>
  <si>
    <t>23.6.13~7.5</t>
    <phoneticPr fontId="1" type="noConversion"/>
  </si>
  <si>
    <t>23.4.5~5.15</t>
    <phoneticPr fontId="1" type="noConversion"/>
  </si>
  <si>
    <t>22.12.16~23.1.14</t>
    <phoneticPr fontId="1" type="noConversion"/>
  </si>
  <si>
    <t>'22.10.4.</t>
    <phoneticPr fontId="1" type="noConversion"/>
  </si>
  <si>
    <t>`22.7.14 ~ 9.8</t>
    <phoneticPr fontId="1" type="noConversion"/>
  </si>
  <si>
    <t>22.6.16~7.1</t>
    <phoneticPr fontId="1" type="noConversion"/>
  </si>
  <si>
    <t>'22.7.8.~22.7.29.</t>
    <phoneticPr fontId="1" type="noConversion"/>
  </si>
  <si>
    <t>`22.6.2 ~ 6.3</t>
    <phoneticPr fontId="1" type="noConversion"/>
  </si>
  <si>
    <t>22.1.1.~1.18.</t>
    <phoneticPr fontId="1" type="noConversion"/>
  </si>
  <si>
    <t>'22.4.25.~'22.6.13.</t>
    <phoneticPr fontId="1" type="noConversion"/>
  </si>
  <si>
    <t>`21.11.14</t>
    <phoneticPr fontId="1" type="noConversion"/>
  </si>
  <si>
    <t>'21.11.3.~11.26.</t>
    <phoneticPr fontId="1" type="noConversion"/>
  </si>
  <si>
    <t>'21.12.10.~'22.1.3.</t>
    <phoneticPr fontId="1" type="noConversion"/>
  </si>
  <si>
    <t>'21.6.19.~7.26.</t>
    <phoneticPr fontId="1" type="noConversion"/>
  </si>
  <si>
    <t>'21.10.25.~12.11.</t>
    <phoneticPr fontId="1" type="noConversion"/>
  </si>
  <si>
    <t>'21.3.26.~4.19.</t>
    <phoneticPr fontId="1" type="noConversion"/>
  </si>
  <si>
    <t>'21.6.2.~21.9.9.</t>
    <phoneticPr fontId="1" type="noConversion"/>
  </si>
  <si>
    <t>20.12.18.~'21.2.22.</t>
    <phoneticPr fontId="1" type="noConversion"/>
  </si>
  <si>
    <t>'20.12.9.~12.29.</t>
    <phoneticPr fontId="1" type="noConversion"/>
  </si>
  <si>
    <t>`20.8.27~9.9</t>
    <phoneticPr fontId="1" type="noConversion"/>
  </si>
  <si>
    <t>'20.7.6.~8.10.</t>
    <phoneticPr fontId="1" type="noConversion"/>
  </si>
  <si>
    <t>'19.6.12.~7.2.</t>
    <phoneticPr fontId="1" type="noConversion"/>
  </si>
  <si>
    <t>`19.11.26 ~ `20.1.28</t>
    <phoneticPr fontId="1" type="noConversion"/>
  </si>
  <si>
    <t>'19.11.6.~11.27.</t>
    <phoneticPr fontId="1" type="noConversion"/>
  </si>
  <si>
    <t>'19.9.25.~11.27.</t>
    <phoneticPr fontId="1" type="noConversion"/>
  </si>
  <si>
    <t>'19.1.3.~2.17.</t>
    <phoneticPr fontId="1" type="noConversion"/>
  </si>
  <si>
    <t>'19.7.19.~9.9.</t>
    <phoneticPr fontId="1" type="noConversion"/>
  </si>
  <si>
    <t>18.11.20~12.20.</t>
    <phoneticPr fontId="1" type="noConversion"/>
  </si>
  <si>
    <t>`18.8.29 ~ 9.22</t>
    <phoneticPr fontId="1" type="noConversion"/>
  </si>
  <si>
    <t>'18.8.29.~9.22.</t>
    <phoneticPr fontId="1" type="noConversion"/>
  </si>
  <si>
    <t>`18.2.5 ~ 5.15</t>
    <phoneticPr fontId="1" type="noConversion"/>
  </si>
  <si>
    <t>`18.1.15 ~ 1.22</t>
    <phoneticPr fontId="1" type="noConversion"/>
  </si>
  <si>
    <t>'17.11.6.~11.27</t>
    <phoneticPr fontId="1" type="noConversion"/>
  </si>
  <si>
    <t>`17.9.22~10.02</t>
    <phoneticPr fontId="1" type="noConversion"/>
  </si>
  <si>
    <t>'17.9.22.~10.2.</t>
    <phoneticPr fontId="1" type="noConversion"/>
  </si>
  <si>
    <t>`17.7.21~8.26</t>
    <phoneticPr fontId="1" type="noConversion"/>
  </si>
  <si>
    <t>'17.6.26.~8.25.</t>
    <phoneticPr fontId="1" type="noConversion"/>
  </si>
  <si>
    <t>`17.1.12 ~ 3.28</t>
    <phoneticPr fontId="1" type="noConversion"/>
  </si>
  <si>
    <t>`17.1.09~5.15</t>
    <phoneticPr fontId="1" type="noConversion"/>
  </si>
  <si>
    <t>'17.1.5.~3.29.</t>
    <phoneticPr fontId="1" type="noConversion"/>
  </si>
  <si>
    <t>&lt;상시비축 작기구분 기준&gt;
무 : 겨울(1~4), 봄(5~7), 여름(8~10), 가을(11~12)</t>
    <phoneticPr fontId="1" type="noConversion"/>
  </si>
  <si>
    <t>[`26.8.26 기준]</t>
    <phoneticPr fontId="1" type="noConversion"/>
  </si>
  <si>
    <t xml:space="preserve">정부비축 배추 수매 및 방출 실적(작기별) </t>
    <phoneticPr fontId="1" type="noConversion"/>
  </si>
  <si>
    <t xml:space="preserve">정부비축 무 수매 및 방출 실적(작기별) </t>
    <phoneticPr fontId="1" type="noConversion"/>
  </si>
  <si>
    <t>가을</t>
    <phoneticPr fontId="1" type="noConversion"/>
  </si>
  <si>
    <t>여름</t>
    <phoneticPr fontId="1" type="noConversion"/>
  </si>
  <si>
    <t>봄</t>
    <phoneticPr fontId="1" type="noConversion"/>
  </si>
  <si>
    <t>25.6.4~9.10</t>
    <phoneticPr fontId="1" type="noConversion"/>
  </si>
  <si>
    <t>25.9.5~9.24</t>
    <phoneticPr fontId="1" type="noConversion"/>
  </si>
  <si>
    <t>25.12.2~26.2.13</t>
    <phoneticPr fontId="1" type="noConversion"/>
  </si>
  <si>
    <t>재활용</t>
    <phoneticPr fontId="1" type="noConversion"/>
  </si>
  <si>
    <t>`26.3.23~4.1</t>
    <phoneticPr fontId="1" type="noConversion"/>
  </si>
  <si>
    <t>`26.5.25~8.3</t>
    <phoneticPr fontId="1" type="noConversion"/>
  </si>
  <si>
    <t>26.7.10~7.30</t>
    <phoneticPr fontId="1" type="noConversion"/>
  </si>
  <si>
    <t>26.6.12~6.16</t>
    <phoneticPr fontId="1" type="noConversion"/>
  </si>
  <si>
    <t>26.3.17~4.6</t>
    <phoneticPr fontId="1" type="noConversion"/>
  </si>
  <si>
    <t>26.2.10~2.13</t>
    <phoneticPr fontId="1" type="noConversion"/>
  </si>
  <si>
    <t>26.5.26~6.15</t>
    <phoneticPr fontId="1" type="noConversion"/>
  </si>
  <si>
    <t>25.11.14~25.12.19</t>
    <phoneticPr fontId="1" type="noConversion"/>
  </si>
  <si>
    <t>`24.12.22~`25.1.12</t>
    <phoneticPr fontId="1" type="noConversion"/>
  </si>
  <si>
    <t>25.3.10~4.17</t>
    <phoneticPr fontId="1" type="noConversion"/>
  </si>
  <si>
    <t>25.2.28~3.19</t>
    <phoneticPr fontId="1" type="noConversion"/>
  </si>
  <si>
    <t>`25.6.3~7.31</t>
    <phoneticPr fontId="1" type="noConversion"/>
  </si>
  <si>
    <t>25.1.5~4.23</t>
    <phoneticPr fontId="1" type="noConversion"/>
  </si>
  <si>
    <t>25.4.29~5.2</t>
    <phoneticPr fontId="1" type="noConversion"/>
  </si>
  <si>
    <t>25.11.16~12.18</t>
    <phoneticPr fontId="1" type="noConversion"/>
  </si>
  <si>
    <t>25.11.28~12.15</t>
    <phoneticPr fontId="1" type="noConversion"/>
  </si>
  <si>
    <t>24.12.22~25.1.12</t>
    <phoneticPr fontId="1" type="noConversion"/>
  </si>
  <si>
    <t>25.4.25~7.28</t>
    <phoneticPr fontId="1" type="noConversion"/>
  </si>
  <si>
    <t>25.8.3~11.7</t>
    <phoneticPr fontId="1" type="noConversion"/>
  </si>
  <si>
    <t>25.4.25~11.19</t>
    <phoneticPr fontId="1" type="noConversion"/>
  </si>
  <si>
    <t>25.8.3~11.19</t>
    <phoneticPr fontId="1" type="noConversion"/>
  </si>
  <si>
    <t>25.8.1~9.30</t>
    <phoneticPr fontId="1" type="noConversion"/>
  </si>
  <si>
    <t>25.9.11~10.27</t>
    <phoneticPr fontId="1" type="noConversion"/>
  </si>
  <si>
    <t>23.12.9~24.1.5</t>
    <phoneticPr fontId="1" type="noConversion"/>
  </si>
  <si>
    <t>24.2.7~2.23</t>
    <phoneticPr fontId="1" type="noConversion"/>
  </si>
  <si>
    <t>24.3.6~3.19</t>
    <phoneticPr fontId="1" type="noConversion"/>
  </si>
  <si>
    <t>24.4.9~5.10</t>
    <phoneticPr fontId="1" type="noConversion"/>
  </si>
  <si>
    <t>`23.12.20~`24.3.21</t>
    <phoneticPr fontId="1" type="noConversion"/>
  </si>
  <si>
    <t>24.3.20~5.3</t>
    <phoneticPr fontId="1" type="noConversion"/>
  </si>
  <si>
    <t>24.3.29~4.11</t>
    <phoneticPr fontId="1" type="noConversion"/>
  </si>
  <si>
    <t>24.4.12~4.29</t>
    <phoneticPr fontId="1" type="noConversion"/>
  </si>
  <si>
    <t>24.2.18/3.21</t>
    <phoneticPr fontId="1" type="noConversion"/>
  </si>
  <si>
    <t>24.10.8~10.22</t>
    <phoneticPr fontId="1" type="noConversion"/>
  </si>
  <si>
    <t>24.4.23~8.5</t>
    <phoneticPr fontId="1" type="noConversion"/>
  </si>
  <si>
    <t>24.7.30~8.2</t>
    <phoneticPr fontId="1" type="noConversion"/>
  </si>
  <si>
    <t>24.4.23~9.6</t>
    <phoneticPr fontId="1" type="noConversion"/>
  </si>
  <si>
    <t>24.10.9~10.23</t>
    <phoneticPr fontId="1" type="noConversion"/>
  </si>
  <si>
    <t>25.12.15~26.1.19</t>
    <phoneticPr fontId="1" type="noConversion"/>
  </si>
  <si>
    <t>25.11.16~12.16</t>
    <phoneticPr fontId="1" type="noConversion"/>
  </si>
  <si>
    <t>26.4.23~7.29</t>
    <phoneticPr fontId="1" type="noConversion"/>
  </si>
  <si>
    <t>26.7.10</t>
    <phoneticPr fontId="1" type="noConversion"/>
  </si>
  <si>
    <t>26.7.23~</t>
    <phoneticPr fontId="1" type="noConversion"/>
  </si>
  <si>
    <t>26.7.23~8.6</t>
    <phoneticPr fontId="1" type="noConversion"/>
  </si>
  <si>
    <t>26.1.12~1.22</t>
    <phoneticPr fontId="1" type="noConversion"/>
  </si>
  <si>
    <t>26.1.28~3.31</t>
    <phoneticPr fontId="1" type="noConversion"/>
  </si>
  <si>
    <t>[`26.8.28 기준]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</si>
</sst>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0_);[Red]\(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rgb="FF0000FF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5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2" fillId="2" borderId="0" xfId="1" applyFont="1" applyFill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41" fontId="4" fillId="0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176" fontId="0" fillId="0" borderId="1" xfId="0" applyNumberFormat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2" fillId="6" borderId="1" xfId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41" fontId="4" fillId="0" borderId="1" xfId="1" applyFont="1" applyBorder="1" applyAlignment="1">
      <alignment horizontal="right" vertical="center"/>
    </xf>
    <xf numFmtId="41" fontId="4" fillId="0" borderId="1" xfId="1" applyFont="1" applyBorder="1">
      <alignment vertical="center"/>
    </xf>
    <xf numFmtId="176" fontId="4" fillId="0" borderId="1" xfId="0" applyNumberFormat="1" applyFont="1" applyBorder="1" applyAlignment="1">
      <alignment horizontal="right" vertical="center"/>
    </xf>
    <xf numFmtId="41" fontId="4" fillId="0" borderId="1" xfId="1" applyFont="1" applyFill="1" applyBorder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41" fontId="7" fillId="0" borderId="0" xfId="0" applyNumberFormat="1" applyFont="1">
      <alignment vertical="center"/>
    </xf>
    <xf numFmtId="41" fontId="7" fillId="0" borderId="0" xfId="0" applyNumberFormat="1" applyFont="1" applyFill="1">
      <alignment vertical="center"/>
    </xf>
    <xf numFmtId="0" fontId="7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4" fillId="0" borderId="1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41" fontId="4" fillId="0" borderId="1" xfId="1" applyFont="1" applyBorder="1" applyAlignment="1">
      <alignment horizontal="center" vertical="center"/>
    </xf>
    <xf numFmtId="41" fontId="4" fillId="8" borderId="1" xfId="1" applyFont="1" applyFill="1" applyBorder="1" applyAlignment="1">
      <alignment horizontal="right" vertical="center"/>
    </xf>
    <xf numFmtId="41" fontId="4" fillId="8" borderId="1" xfId="1" applyFont="1" applyFill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right" vertical="center"/>
    </xf>
    <xf numFmtId="41" fontId="4" fillId="0" borderId="1" xfId="1" quotePrefix="1" applyFont="1" applyBorder="1" applyAlignment="1">
      <alignment horizontal="center" vertical="center"/>
    </xf>
    <xf numFmtId="41" fontId="4" fillId="0" borderId="0" xfId="1" applyFont="1">
      <alignment vertical="center"/>
    </xf>
    <xf numFmtId="177" fontId="4" fillId="0" borderId="10" xfId="0" applyNumberFormat="1" applyFont="1" applyFill="1" applyBorder="1" applyAlignment="1">
      <alignment horizontal="right" vertical="center"/>
    </xf>
    <xf numFmtId="0" fontId="4" fillId="8" borderId="1" xfId="0" quotePrefix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77" fontId="4" fillId="8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6" fillId="0" borderId="0" xfId="1" applyFont="1" applyFill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1" fontId="4" fillId="8" borderId="1" xfId="1" applyFont="1" applyFill="1" applyBorder="1" applyAlignment="1">
      <alignment horizontal="center" vertical="center" shrinkToFit="1"/>
    </xf>
    <xf numFmtId="0" fontId="19" fillId="0" borderId="0" xfId="0" applyFont="1">
      <alignment vertical="center"/>
    </xf>
    <xf numFmtId="41" fontId="4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41" fontId="20" fillId="0" borderId="0" xfId="1" applyFont="1" applyBorder="1">
      <alignment vertical="center"/>
    </xf>
    <xf numFmtId="0" fontId="0" fillId="0" borderId="0" xfId="0" applyFont="1">
      <alignment vertical="center"/>
    </xf>
    <xf numFmtId="41" fontId="20" fillId="8" borderId="1" xfId="1" applyFont="1" applyFill="1" applyBorder="1" applyAlignment="1">
      <alignment horizontal="left" vertical="center"/>
    </xf>
    <xf numFmtId="41" fontId="20" fillId="8" borderId="1" xfId="1" applyFont="1" applyFill="1" applyBorder="1">
      <alignment vertical="center"/>
    </xf>
    <xf numFmtId="0" fontId="20" fillId="8" borderId="1" xfId="0" quotePrefix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41" fontId="20" fillId="8" borderId="1" xfId="1" applyFont="1" applyFill="1" applyBorder="1" applyAlignment="1">
      <alignment horizontal="right" vertical="center"/>
    </xf>
    <xf numFmtId="0" fontId="0" fillId="8" borderId="0" xfId="0" applyFont="1" applyFill="1">
      <alignment vertical="center"/>
    </xf>
    <xf numFmtId="41" fontId="20" fillId="8" borderId="1" xfId="1" applyFont="1" applyFill="1" applyBorder="1" applyAlignment="1">
      <alignment horizontal="center" vertical="center"/>
    </xf>
    <xf numFmtId="41" fontId="20" fillId="0" borderId="1" xfId="1" applyFont="1" applyBorder="1" applyAlignment="1">
      <alignment horizontal="left" vertical="center"/>
    </xf>
    <xf numFmtId="41" fontId="20" fillId="0" borderId="1" xfId="1" applyFont="1" applyBorder="1">
      <alignment vertical="center"/>
    </xf>
    <xf numFmtId="41" fontId="20" fillId="0" borderId="1" xfId="1" quotePrefix="1" applyFont="1" applyBorder="1" applyAlignment="1">
      <alignment horizontal="center" vertical="center"/>
    </xf>
    <xf numFmtId="41" fontId="20" fillId="0" borderId="1" xfId="1" applyFont="1" applyFill="1" applyBorder="1">
      <alignment vertical="center"/>
    </xf>
    <xf numFmtId="41" fontId="20" fillId="0" borderId="1" xfId="1" applyFont="1" applyBorder="1" applyAlignment="1">
      <alignment horizontal="right" vertical="center"/>
    </xf>
    <xf numFmtId="0" fontId="20" fillId="0" borderId="1" xfId="0" quotePrefix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41" fontId="20" fillId="0" borderId="1" xfId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right" vertical="center"/>
    </xf>
    <xf numFmtId="41" fontId="20" fillId="0" borderId="1" xfId="1" applyFont="1" applyFill="1" applyBorder="1" applyAlignment="1">
      <alignment horizontal="right" vertical="center"/>
    </xf>
    <xf numFmtId="0" fontId="9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41" fontId="4" fillId="0" borderId="1" xfId="1" applyFont="1" applyFill="1" applyBorder="1" applyAlignment="1">
      <alignment horizontal="left" vertical="center"/>
    </xf>
    <xf numFmtId="41" fontId="4" fillId="0" borderId="1" xfId="1" applyFont="1" applyBorder="1" applyAlignment="1">
      <alignment horizontal="left" vertical="center"/>
    </xf>
    <xf numFmtId="41" fontId="4" fillId="8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shrinkToFit="1"/>
    </xf>
    <xf numFmtId="0" fontId="2" fillId="5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41" fontId="20" fillId="0" borderId="1" xfId="1" applyFont="1" applyFill="1" applyBorder="1" applyAlignment="1">
      <alignment horizontal="left" vertical="center"/>
    </xf>
    <xf numFmtId="0" fontId="20" fillId="8" borderId="1" xfId="0" quotePrefix="1" applyFont="1" applyFill="1" applyBorder="1" applyAlignment="1">
      <alignment horizontal="left" vertical="center"/>
    </xf>
    <xf numFmtId="41" fontId="20" fillId="8" borderId="1" xfId="1" applyFont="1" applyFill="1" applyBorder="1" applyAlignment="1">
      <alignment horizontal="left" vertical="center" shrinkToFit="1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41" fontId="4" fillId="8" borderId="3" xfId="1" applyFont="1" applyFill="1" applyBorder="1" applyAlignment="1">
      <alignment horizontal="center" vertical="center"/>
    </xf>
    <xf numFmtId="41" fontId="4" fillId="8" borderId="2" xfId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41" fontId="4" fillId="8" borderId="1" xfId="1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5"/>
  <sheetViews>
    <sheetView tabSelected="1" topLeftCell="A16" zoomScale="85" zoomScaleNormal="85" workbookViewId="0">
      <selection activeCell="P46" sqref="P46"/>
    </sheetView>
  </sheetViews>
  <sheetFormatPr defaultRowHeight="16.5" x14ac:dyDescent="0.3"/>
  <cols>
    <col min="1" max="1" width="2" customWidth="1"/>
    <col min="4" max="4" width="20.125" style="31" bestFit="1" customWidth="1"/>
    <col min="5" max="5" width="10.5" bestFit="1" customWidth="1"/>
    <col min="6" max="6" width="10.875" customWidth="1"/>
    <col min="7" max="7" width="14.625" customWidth="1"/>
    <col min="8" max="8" width="10.875" style="15" customWidth="1"/>
    <col min="9" max="9" width="14.625" style="99" bestFit="1" customWidth="1"/>
    <col min="10" max="11" width="10.875" hidden="1" customWidth="1"/>
    <col min="12" max="12" width="14.625" hidden="1" customWidth="1"/>
    <col min="13" max="13" width="12" style="15" customWidth="1"/>
    <col min="14" max="14" width="17.875" style="31" bestFit="1" customWidth="1"/>
    <col min="15" max="15" width="12" style="31" customWidth="1"/>
  </cols>
  <sheetData>
    <row r="1" spans="1:19" ht="32.25" customHeight="1" x14ac:dyDescent="0.3">
      <c r="B1" s="111" t="s">
        <v>108</v>
      </c>
      <c r="C1" s="112"/>
      <c r="D1" s="112"/>
      <c r="E1" s="112"/>
      <c r="M1" s="61"/>
      <c r="N1" s="62"/>
      <c r="O1" s="63"/>
      <c r="P1" s="18"/>
    </row>
    <row r="2" spans="1:19" ht="33" customHeight="1" x14ac:dyDescent="0.3">
      <c r="B2" s="106"/>
      <c r="C2" s="123" t="s">
        <v>227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19" ht="33" customHeight="1" x14ac:dyDescent="0.3">
      <c r="B3" s="70"/>
      <c r="C3" s="93"/>
      <c r="D3" s="97"/>
      <c r="E3" s="93"/>
      <c r="H3"/>
      <c r="M3"/>
      <c r="N3"/>
      <c r="O3"/>
      <c r="P3" s="31" t="s">
        <v>281</v>
      </c>
    </row>
    <row r="4" spans="1:19" ht="32.25" customHeight="1" x14ac:dyDescent="0.3">
      <c r="B4" s="122" t="s">
        <v>9</v>
      </c>
      <c r="C4" s="119" t="s">
        <v>69</v>
      </c>
      <c r="D4" s="119"/>
      <c r="E4" s="119"/>
      <c r="F4" s="114" t="s">
        <v>165</v>
      </c>
      <c r="G4" s="121"/>
      <c r="H4" s="121"/>
      <c r="I4" s="121"/>
      <c r="J4" s="121"/>
      <c r="K4" s="121"/>
      <c r="L4" s="121"/>
      <c r="M4" s="121"/>
      <c r="N4" s="121"/>
      <c r="O4" s="121"/>
      <c r="P4" s="115"/>
    </row>
    <row r="5" spans="1:19" x14ac:dyDescent="0.3">
      <c r="B5" s="122"/>
      <c r="C5" s="120"/>
      <c r="D5" s="120"/>
      <c r="E5" s="120"/>
      <c r="F5" s="114" t="s">
        <v>39</v>
      </c>
      <c r="G5" s="115"/>
      <c r="H5" s="114" t="s">
        <v>40</v>
      </c>
      <c r="I5" s="115"/>
      <c r="J5" s="116" t="s">
        <v>80</v>
      </c>
      <c r="K5" s="117"/>
      <c r="L5" s="118"/>
      <c r="M5" s="113" t="s">
        <v>71</v>
      </c>
      <c r="N5" s="113"/>
      <c r="O5" s="113"/>
      <c r="P5" s="67" t="s">
        <v>72</v>
      </c>
    </row>
    <row r="6" spans="1:19" x14ac:dyDescent="0.3">
      <c r="B6" s="122"/>
      <c r="C6" s="105" t="s">
        <v>10</v>
      </c>
      <c r="D6" s="10" t="s">
        <v>5</v>
      </c>
      <c r="E6" s="10" t="s">
        <v>41</v>
      </c>
      <c r="F6" s="11" t="s">
        <v>41</v>
      </c>
      <c r="G6" s="11" t="s">
        <v>84</v>
      </c>
      <c r="H6" s="32" t="s">
        <v>41</v>
      </c>
      <c r="I6" s="100" t="s">
        <v>84</v>
      </c>
      <c r="J6" s="30" t="s">
        <v>41</v>
      </c>
      <c r="K6" s="30" t="s">
        <v>42</v>
      </c>
      <c r="L6" s="11" t="s">
        <v>84</v>
      </c>
      <c r="M6" s="32" t="s">
        <v>41</v>
      </c>
      <c r="N6" s="11" t="s">
        <v>84</v>
      </c>
      <c r="O6" s="11" t="s">
        <v>76</v>
      </c>
      <c r="P6" s="11" t="s">
        <v>41</v>
      </c>
    </row>
    <row r="7" spans="1:19" s="42" customFormat="1" x14ac:dyDescent="0.3">
      <c r="A7" s="20"/>
      <c r="B7" s="43">
        <v>2017</v>
      </c>
      <c r="C7" s="43" t="s">
        <v>0</v>
      </c>
      <c r="D7" s="45" t="s">
        <v>104</v>
      </c>
      <c r="E7" s="37">
        <v>9504</v>
      </c>
      <c r="F7" s="37">
        <v>2468</v>
      </c>
      <c r="G7" s="46" t="s">
        <v>148</v>
      </c>
      <c r="H7" s="37">
        <f>(6172753)/1000</f>
        <v>6172.7529999999997</v>
      </c>
      <c r="I7" s="101" t="s">
        <v>147</v>
      </c>
      <c r="J7" s="37">
        <f>(999780-554416)/1000</f>
        <v>445.36399999999998</v>
      </c>
      <c r="K7" s="37">
        <v>49</v>
      </c>
      <c r="L7" s="21" t="s">
        <v>149</v>
      </c>
      <c r="M7" s="37"/>
      <c r="N7" s="43"/>
      <c r="O7" s="43"/>
      <c r="P7" s="47">
        <v>409</v>
      </c>
      <c r="R7" s="41"/>
      <c r="S7" s="41"/>
    </row>
    <row r="8" spans="1:19" x14ac:dyDescent="0.3">
      <c r="A8" s="48"/>
      <c r="B8" s="44">
        <v>2017</v>
      </c>
      <c r="C8" s="44" t="s">
        <v>1</v>
      </c>
      <c r="D8" s="94" t="s">
        <v>105</v>
      </c>
      <c r="E8" s="34">
        <f>ROUNDDOWN(6360618/1000,0)</f>
        <v>6360</v>
      </c>
      <c r="F8" s="34">
        <v>3655</v>
      </c>
      <c r="G8" s="21" t="s">
        <v>144</v>
      </c>
      <c r="H8" s="34">
        <v>2619</v>
      </c>
      <c r="I8" s="101" t="s">
        <v>145</v>
      </c>
      <c r="J8" s="34">
        <v>0</v>
      </c>
      <c r="K8" s="34">
        <v>0</v>
      </c>
      <c r="L8" s="34"/>
      <c r="M8" s="34">
        <v>0</v>
      </c>
      <c r="N8" s="49">
        <v>0</v>
      </c>
      <c r="O8" s="49">
        <v>0</v>
      </c>
      <c r="P8" s="39">
        <v>86</v>
      </c>
      <c r="R8" s="40"/>
      <c r="S8" s="40"/>
    </row>
    <row r="9" spans="1:19" x14ac:dyDescent="0.3">
      <c r="A9" s="48"/>
      <c r="B9" s="44">
        <v>2017</v>
      </c>
      <c r="C9" s="44" t="s">
        <v>2</v>
      </c>
      <c r="D9" s="94" t="s">
        <v>92</v>
      </c>
      <c r="E9" s="34">
        <v>2944</v>
      </c>
      <c r="F9" s="34">
        <v>2944</v>
      </c>
      <c r="G9" s="51" t="s">
        <v>136</v>
      </c>
      <c r="H9" s="34">
        <v>0</v>
      </c>
      <c r="I9" s="102">
        <v>0</v>
      </c>
      <c r="J9" s="34">
        <v>0</v>
      </c>
      <c r="K9" s="34">
        <v>0</v>
      </c>
      <c r="L9" s="34"/>
      <c r="M9" s="34">
        <v>0</v>
      </c>
      <c r="N9" s="49">
        <v>0</v>
      </c>
      <c r="O9" s="49">
        <v>0</v>
      </c>
      <c r="P9" s="38">
        <v>0</v>
      </c>
      <c r="R9" s="40"/>
      <c r="S9" s="40"/>
    </row>
    <row r="10" spans="1:19" x14ac:dyDescent="0.3">
      <c r="A10" s="48"/>
      <c r="B10" s="44">
        <v>2018</v>
      </c>
      <c r="C10" s="44" t="s">
        <v>0</v>
      </c>
      <c r="D10" s="94" t="s">
        <v>91</v>
      </c>
      <c r="E10" s="34">
        <v>3800</v>
      </c>
      <c r="F10" s="34">
        <v>921</v>
      </c>
      <c r="G10" s="51" t="s">
        <v>137</v>
      </c>
      <c r="H10" s="34">
        <v>2874</v>
      </c>
      <c r="I10" s="101" t="s">
        <v>143</v>
      </c>
      <c r="J10" s="34">
        <v>0</v>
      </c>
      <c r="K10" s="34">
        <v>0</v>
      </c>
      <c r="L10" s="34"/>
      <c r="M10" s="34">
        <v>0</v>
      </c>
      <c r="N10" s="49">
        <v>0</v>
      </c>
      <c r="O10" s="49">
        <v>0</v>
      </c>
      <c r="P10" s="52">
        <v>5</v>
      </c>
      <c r="R10" s="40"/>
      <c r="S10" s="40"/>
    </row>
    <row r="11" spans="1:19" x14ac:dyDescent="0.3">
      <c r="A11" s="48"/>
      <c r="B11" s="44">
        <v>2018</v>
      </c>
      <c r="C11" s="44" t="s">
        <v>1</v>
      </c>
      <c r="D11" s="94" t="s">
        <v>106</v>
      </c>
      <c r="E11" s="34">
        <v>4000</v>
      </c>
      <c r="F11" s="34">
        <v>3682</v>
      </c>
      <c r="G11" s="51" t="s">
        <v>142</v>
      </c>
      <c r="H11" s="34">
        <v>300</v>
      </c>
      <c r="I11" s="103" t="s">
        <v>141</v>
      </c>
      <c r="J11" s="34">
        <v>0</v>
      </c>
      <c r="K11" s="34">
        <v>0</v>
      </c>
      <c r="L11" s="34"/>
      <c r="M11" s="34">
        <v>0</v>
      </c>
      <c r="N11" s="49">
        <v>0</v>
      </c>
      <c r="O11" s="49">
        <v>0</v>
      </c>
      <c r="P11" s="39">
        <v>18</v>
      </c>
      <c r="R11" s="40"/>
      <c r="S11" s="40"/>
    </row>
    <row r="12" spans="1:19" x14ac:dyDescent="0.3">
      <c r="A12" s="48"/>
      <c r="B12" s="44">
        <v>2018</v>
      </c>
      <c r="C12" s="44" t="s">
        <v>2</v>
      </c>
      <c r="D12" s="94" t="s">
        <v>107</v>
      </c>
      <c r="E12" s="34">
        <v>1933</v>
      </c>
      <c r="F12" s="34">
        <v>107</v>
      </c>
      <c r="G12" s="49" t="s">
        <v>135</v>
      </c>
      <c r="H12" s="34">
        <v>1826</v>
      </c>
      <c r="I12" s="103" t="s">
        <v>134</v>
      </c>
      <c r="J12" s="34">
        <v>0</v>
      </c>
      <c r="K12" s="34">
        <v>0</v>
      </c>
      <c r="L12" s="34"/>
      <c r="M12" s="34">
        <v>0</v>
      </c>
      <c r="N12" s="49">
        <v>0</v>
      </c>
      <c r="O12" s="49">
        <v>0</v>
      </c>
      <c r="P12" s="38">
        <v>0</v>
      </c>
      <c r="R12" s="40"/>
      <c r="S12" s="40"/>
    </row>
    <row r="13" spans="1:19" x14ac:dyDescent="0.3">
      <c r="A13" s="48"/>
      <c r="B13" s="44">
        <v>2018</v>
      </c>
      <c r="C13" s="44" t="s">
        <v>81</v>
      </c>
      <c r="D13" s="94" t="s">
        <v>90</v>
      </c>
      <c r="E13" s="34">
        <v>1000</v>
      </c>
      <c r="F13" s="34">
        <v>0</v>
      </c>
      <c r="G13" s="34"/>
      <c r="H13" s="34">
        <v>0</v>
      </c>
      <c r="I13" s="102">
        <v>0</v>
      </c>
      <c r="J13" s="34">
        <v>0</v>
      </c>
      <c r="K13" s="34">
        <v>0</v>
      </c>
      <c r="L13" s="34"/>
      <c r="M13" s="34">
        <v>628</v>
      </c>
      <c r="N13" s="53" t="s">
        <v>93</v>
      </c>
      <c r="O13" s="44" t="s">
        <v>83</v>
      </c>
      <c r="P13" s="39">
        <v>372</v>
      </c>
      <c r="R13" s="40"/>
      <c r="S13" s="40"/>
    </row>
    <row r="14" spans="1:19" x14ac:dyDescent="0.3">
      <c r="A14" s="48"/>
      <c r="B14" s="43">
        <v>2019</v>
      </c>
      <c r="C14" s="44" t="s">
        <v>82</v>
      </c>
      <c r="D14" s="94" t="s">
        <v>89</v>
      </c>
      <c r="E14" s="34">
        <v>3000</v>
      </c>
      <c r="F14" s="37">
        <v>0</v>
      </c>
      <c r="G14" s="34"/>
      <c r="H14" s="37">
        <v>540</v>
      </c>
      <c r="I14" s="103" t="s">
        <v>140</v>
      </c>
      <c r="J14" s="34">
        <v>0</v>
      </c>
      <c r="K14" s="34">
        <v>0</v>
      </c>
      <c r="L14" s="34"/>
      <c r="M14" s="34">
        <v>2460</v>
      </c>
      <c r="N14" s="53" t="s">
        <v>94</v>
      </c>
      <c r="O14" s="44" t="s">
        <v>83</v>
      </c>
      <c r="P14" s="38">
        <v>0</v>
      </c>
      <c r="R14" s="40"/>
      <c r="S14" s="40"/>
    </row>
    <row r="15" spans="1:19" x14ac:dyDescent="0.3">
      <c r="A15" s="48"/>
      <c r="B15" s="43">
        <v>2019</v>
      </c>
      <c r="C15" s="44" t="s">
        <v>1</v>
      </c>
      <c r="D15" s="94" t="s">
        <v>88</v>
      </c>
      <c r="E15" s="34">
        <v>4500</v>
      </c>
      <c r="F15" s="37">
        <v>592</v>
      </c>
      <c r="G15" s="51" t="s">
        <v>133</v>
      </c>
      <c r="H15" s="37">
        <v>2378</v>
      </c>
      <c r="I15" s="103" t="s">
        <v>139</v>
      </c>
      <c r="J15" s="34">
        <v>0</v>
      </c>
      <c r="K15" s="34">
        <v>0</v>
      </c>
      <c r="L15" s="34"/>
      <c r="M15" s="34">
        <v>1520</v>
      </c>
      <c r="N15" s="53" t="s">
        <v>95</v>
      </c>
      <c r="O15" s="44" t="s">
        <v>83</v>
      </c>
      <c r="P15" s="39">
        <v>10</v>
      </c>
      <c r="R15" s="40"/>
      <c r="S15" s="40"/>
    </row>
    <row r="16" spans="1:19" x14ac:dyDescent="0.3">
      <c r="A16" s="48"/>
      <c r="B16" s="43">
        <v>2019</v>
      </c>
      <c r="C16" s="44" t="s">
        <v>3</v>
      </c>
      <c r="D16" s="94" t="s">
        <v>87</v>
      </c>
      <c r="E16" s="34">
        <v>4525</v>
      </c>
      <c r="F16" s="37">
        <v>3953</v>
      </c>
      <c r="G16" s="51" t="s">
        <v>132</v>
      </c>
      <c r="H16" s="37">
        <v>387</v>
      </c>
      <c r="I16" s="103" t="s">
        <v>131</v>
      </c>
      <c r="J16" s="34">
        <v>0</v>
      </c>
      <c r="K16" s="34">
        <v>0</v>
      </c>
      <c r="L16" s="34"/>
      <c r="M16" s="34">
        <v>0</v>
      </c>
      <c r="N16" s="49">
        <v>0</v>
      </c>
      <c r="O16" s="49">
        <v>0</v>
      </c>
      <c r="P16" s="39">
        <v>185</v>
      </c>
      <c r="R16" s="40"/>
      <c r="S16" s="40"/>
    </row>
    <row r="17" spans="1:19" x14ac:dyDescent="0.3">
      <c r="A17" s="48"/>
      <c r="B17" s="68">
        <v>2020</v>
      </c>
      <c r="C17" s="69" t="s">
        <v>1</v>
      </c>
      <c r="D17" s="94" t="s">
        <v>86</v>
      </c>
      <c r="E17" s="34">
        <v>3158</v>
      </c>
      <c r="F17" s="37">
        <v>2674</v>
      </c>
      <c r="G17" s="51" t="s">
        <v>130</v>
      </c>
      <c r="H17" s="37">
        <v>360</v>
      </c>
      <c r="I17" s="103" t="s">
        <v>146</v>
      </c>
      <c r="J17" s="34">
        <v>0</v>
      </c>
      <c r="K17" s="34">
        <v>0</v>
      </c>
      <c r="L17" s="34"/>
      <c r="M17" s="34">
        <v>71</v>
      </c>
      <c r="N17" s="66" t="s">
        <v>150</v>
      </c>
      <c r="O17" s="66" t="s">
        <v>83</v>
      </c>
      <c r="P17" s="39">
        <v>54</v>
      </c>
      <c r="R17" s="40"/>
      <c r="S17" s="40"/>
    </row>
    <row r="18" spans="1:19" x14ac:dyDescent="0.3">
      <c r="A18" s="48"/>
      <c r="B18" s="68">
        <v>2020</v>
      </c>
      <c r="C18" s="69" t="s">
        <v>2</v>
      </c>
      <c r="D18" s="94" t="s">
        <v>85</v>
      </c>
      <c r="E18" s="34">
        <v>1056</v>
      </c>
      <c r="F18" s="37">
        <v>1056</v>
      </c>
      <c r="G18" s="51" t="s">
        <v>129</v>
      </c>
      <c r="H18" s="37">
        <v>0</v>
      </c>
      <c r="I18" s="102">
        <v>0</v>
      </c>
      <c r="J18" s="34">
        <v>0</v>
      </c>
      <c r="K18" s="34">
        <v>0</v>
      </c>
      <c r="L18" s="34"/>
      <c r="M18" s="34">
        <v>0</v>
      </c>
      <c r="N18" s="66">
        <v>0</v>
      </c>
      <c r="O18" s="66">
        <v>0</v>
      </c>
      <c r="P18" s="39">
        <v>0</v>
      </c>
      <c r="R18" s="40"/>
      <c r="S18" s="40"/>
    </row>
    <row r="19" spans="1:19" x14ac:dyDescent="0.3">
      <c r="A19" s="48"/>
      <c r="B19" s="68">
        <v>2020</v>
      </c>
      <c r="C19" s="69" t="s">
        <v>3</v>
      </c>
      <c r="D19" s="94" t="s">
        <v>96</v>
      </c>
      <c r="E19" s="34">
        <v>2000</v>
      </c>
      <c r="F19" s="37">
        <v>1295</v>
      </c>
      <c r="G19" s="51" t="s">
        <v>126</v>
      </c>
      <c r="H19" s="37">
        <v>0</v>
      </c>
      <c r="I19" s="102">
        <v>0</v>
      </c>
      <c r="J19" s="34">
        <v>0</v>
      </c>
      <c r="K19" s="34">
        <v>0</v>
      </c>
      <c r="L19" s="34"/>
      <c r="M19" s="34">
        <v>696</v>
      </c>
      <c r="N19" s="66" t="s">
        <v>151</v>
      </c>
      <c r="O19" s="66" t="s">
        <v>83</v>
      </c>
      <c r="P19" s="39">
        <v>9</v>
      </c>
      <c r="R19" s="40"/>
      <c r="S19" s="40"/>
    </row>
    <row r="20" spans="1:19" x14ac:dyDescent="0.3">
      <c r="A20" s="48"/>
      <c r="B20" s="43">
        <v>2021</v>
      </c>
      <c r="C20" s="44" t="s">
        <v>0</v>
      </c>
      <c r="D20" s="94" t="s">
        <v>152</v>
      </c>
      <c r="E20" s="34">
        <v>805</v>
      </c>
      <c r="F20" s="34">
        <v>155</v>
      </c>
      <c r="G20" s="51" t="s">
        <v>125</v>
      </c>
      <c r="H20" s="34">
        <v>0</v>
      </c>
      <c r="I20" s="102">
        <v>0</v>
      </c>
      <c r="J20" s="34">
        <v>0</v>
      </c>
      <c r="K20" s="34">
        <v>0</v>
      </c>
      <c r="L20" s="34"/>
      <c r="M20" s="34">
        <v>614</v>
      </c>
      <c r="N20" s="33" t="s">
        <v>99</v>
      </c>
      <c r="O20" s="44" t="s">
        <v>83</v>
      </c>
      <c r="P20" s="39">
        <v>36</v>
      </c>
      <c r="R20" s="40"/>
      <c r="S20" s="40"/>
    </row>
    <row r="21" spans="1:19" x14ac:dyDescent="0.3">
      <c r="A21" s="48"/>
      <c r="B21" s="43">
        <v>2021</v>
      </c>
      <c r="C21" s="44" t="s">
        <v>1</v>
      </c>
      <c r="D21" s="94" t="s">
        <v>97</v>
      </c>
      <c r="E21" s="35">
        <v>5002</v>
      </c>
      <c r="F21" s="34">
        <v>0</v>
      </c>
      <c r="G21" s="34"/>
      <c r="H21" s="34">
        <v>0</v>
      </c>
      <c r="I21" s="102">
        <v>0</v>
      </c>
      <c r="J21" s="34">
        <v>0</v>
      </c>
      <c r="K21" s="34">
        <v>0</v>
      </c>
      <c r="L21" s="34"/>
      <c r="M21" s="54">
        <v>4249</v>
      </c>
      <c r="N21" s="33" t="s">
        <v>100</v>
      </c>
      <c r="O21" s="44" t="s">
        <v>68</v>
      </c>
      <c r="P21" s="55">
        <v>753</v>
      </c>
      <c r="R21" s="40"/>
      <c r="S21" s="40"/>
    </row>
    <row r="22" spans="1:19" x14ac:dyDescent="0.3">
      <c r="A22" s="48"/>
      <c r="B22" s="43">
        <v>2021</v>
      </c>
      <c r="C22" s="44" t="s">
        <v>2</v>
      </c>
      <c r="D22" s="94" t="s">
        <v>98</v>
      </c>
      <c r="E22" s="35">
        <v>5000</v>
      </c>
      <c r="F22" s="34">
        <v>0</v>
      </c>
      <c r="G22" s="34"/>
      <c r="H22" s="34">
        <v>0</v>
      </c>
      <c r="I22" s="102">
        <v>0</v>
      </c>
      <c r="J22" s="34">
        <v>0</v>
      </c>
      <c r="K22" s="34">
        <v>0</v>
      </c>
      <c r="L22" s="34"/>
      <c r="M22" s="34">
        <v>4537</v>
      </c>
      <c r="N22" s="33" t="s">
        <v>101</v>
      </c>
      <c r="O22" s="44" t="s">
        <v>68</v>
      </c>
      <c r="P22" s="39">
        <v>463</v>
      </c>
      <c r="R22" s="40"/>
      <c r="S22" s="40"/>
    </row>
    <row r="23" spans="1:19" x14ac:dyDescent="0.3">
      <c r="A23" s="48"/>
      <c r="B23" s="43">
        <v>2021</v>
      </c>
      <c r="C23" s="44" t="s">
        <v>3</v>
      </c>
      <c r="D23" s="94" t="s">
        <v>103</v>
      </c>
      <c r="E23" s="36">
        <v>4050</v>
      </c>
      <c r="F23" s="34">
        <v>3955</v>
      </c>
      <c r="G23" s="51" t="s">
        <v>127</v>
      </c>
      <c r="H23" s="34">
        <v>64</v>
      </c>
      <c r="I23" s="103" t="s">
        <v>128</v>
      </c>
      <c r="J23" s="34">
        <v>0</v>
      </c>
      <c r="K23" s="34">
        <v>0</v>
      </c>
      <c r="L23" s="34"/>
      <c r="M23" s="34">
        <v>0</v>
      </c>
      <c r="N23" s="34">
        <v>0</v>
      </c>
      <c r="O23" s="34">
        <v>0</v>
      </c>
      <c r="P23" s="38">
        <v>31</v>
      </c>
      <c r="R23" s="40"/>
      <c r="S23" s="40"/>
    </row>
    <row r="24" spans="1:19" x14ac:dyDescent="0.3">
      <c r="A24" s="48"/>
      <c r="B24" s="43">
        <v>2021</v>
      </c>
      <c r="C24" s="69" t="s">
        <v>0</v>
      </c>
      <c r="D24" s="94" t="s">
        <v>102</v>
      </c>
      <c r="E24" s="36">
        <v>3000</v>
      </c>
      <c r="F24" s="50">
        <v>2519</v>
      </c>
      <c r="G24" s="51" t="s">
        <v>123</v>
      </c>
      <c r="H24" s="50">
        <v>80</v>
      </c>
      <c r="I24" s="103" t="s">
        <v>124</v>
      </c>
      <c r="J24" s="50"/>
      <c r="K24" s="50"/>
      <c r="L24" s="50"/>
      <c r="M24" s="50">
        <v>354</v>
      </c>
      <c r="N24" s="56" t="s">
        <v>116</v>
      </c>
      <c r="O24" s="57" t="s">
        <v>68</v>
      </c>
      <c r="P24" s="58">
        <v>47</v>
      </c>
      <c r="R24" s="40"/>
      <c r="S24" s="40"/>
    </row>
    <row r="25" spans="1:19" x14ac:dyDescent="0.3">
      <c r="A25" s="48"/>
      <c r="B25" s="43">
        <v>2022</v>
      </c>
      <c r="C25" s="44" t="s">
        <v>1</v>
      </c>
      <c r="D25" s="94" t="s">
        <v>111</v>
      </c>
      <c r="E25" s="36">
        <v>5637</v>
      </c>
      <c r="F25" s="50">
        <v>5013</v>
      </c>
      <c r="G25" s="51" t="s">
        <v>118</v>
      </c>
      <c r="H25" s="50">
        <v>357</v>
      </c>
      <c r="I25" s="103" t="s">
        <v>119</v>
      </c>
      <c r="J25" s="50"/>
      <c r="K25" s="50"/>
      <c r="L25" s="50"/>
      <c r="M25" s="50">
        <v>183</v>
      </c>
      <c r="N25" s="56" t="s">
        <v>115</v>
      </c>
      <c r="O25" s="57" t="s">
        <v>68</v>
      </c>
      <c r="P25" s="58">
        <v>84</v>
      </c>
      <c r="R25" s="40"/>
      <c r="S25" s="40"/>
    </row>
    <row r="26" spans="1:19" x14ac:dyDescent="0.3">
      <c r="A26" s="48"/>
      <c r="B26" s="43">
        <v>2022</v>
      </c>
      <c r="C26" s="44" t="s">
        <v>1</v>
      </c>
      <c r="D26" s="94" t="s">
        <v>112</v>
      </c>
      <c r="E26" s="36">
        <v>1367</v>
      </c>
      <c r="F26" s="50">
        <v>1367</v>
      </c>
      <c r="G26" s="51" t="s">
        <v>121</v>
      </c>
      <c r="H26" s="34">
        <v>0</v>
      </c>
      <c r="I26" s="102">
        <v>0</v>
      </c>
      <c r="J26" s="34">
        <v>0</v>
      </c>
      <c r="K26" s="34">
        <v>0</v>
      </c>
      <c r="L26" s="34"/>
      <c r="M26" s="34">
        <v>0</v>
      </c>
      <c r="N26" s="34">
        <v>0</v>
      </c>
      <c r="O26" s="34">
        <v>0</v>
      </c>
      <c r="P26" s="34">
        <v>0</v>
      </c>
      <c r="R26" s="40"/>
      <c r="S26" s="40"/>
    </row>
    <row r="27" spans="1:19" x14ac:dyDescent="0.3">
      <c r="A27" s="48"/>
      <c r="B27" s="43">
        <v>2022</v>
      </c>
      <c r="C27" s="44" t="s">
        <v>1</v>
      </c>
      <c r="D27" s="94" t="s">
        <v>113</v>
      </c>
      <c r="E27" s="36">
        <v>500</v>
      </c>
      <c r="F27" s="50">
        <v>500</v>
      </c>
      <c r="G27" s="51" t="s">
        <v>122</v>
      </c>
      <c r="H27" s="34">
        <v>0</v>
      </c>
      <c r="I27" s="102">
        <v>0</v>
      </c>
      <c r="J27" s="34">
        <v>0</v>
      </c>
      <c r="K27" s="34">
        <v>0</v>
      </c>
      <c r="L27" s="34"/>
      <c r="M27" s="34">
        <v>0</v>
      </c>
      <c r="N27" s="34">
        <v>0</v>
      </c>
      <c r="O27" s="34">
        <v>0</v>
      </c>
      <c r="P27" s="34">
        <v>0</v>
      </c>
      <c r="R27" s="40"/>
      <c r="S27" s="40"/>
    </row>
    <row r="28" spans="1:19" x14ac:dyDescent="0.3">
      <c r="A28" s="48"/>
      <c r="B28" s="43">
        <v>2022</v>
      </c>
      <c r="C28" s="44" t="s">
        <v>1</v>
      </c>
      <c r="D28" s="94" t="s">
        <v>114</v>
      </c>
      <c r="E28" s="36">
        <v>1000</v>
      </c>
      <c r="F28" s="50">
        <v>1000</v>
      </c>
      <c r="G28" s="51" t="s">
        <v>117</v>
      </c>
      <c r="H28" s="34">
        <v>0</v>
      </c>
      <c r="I28" s="102">
        <v>0</v>
      </c>
      <c r="J28" s="34">
        <v>0</v>
      </c>
      <c r="K28" s="34">
        <v>0</v>
      </c>
      <c r="L28" s="34"/>
      <c r="M28" s="34">
        <v>0</v>
      </c>
      <c r="N28" s="34">
        <v>0</v>
      </c>
      <c r="O28" s="34">
        <v>0</v>
      </c>
      <c r="P28" s="34">
        <v>0</v>
      </c>
      <c r="R28" s="40"/>
      <c r="S28" s="40"/>
    </row>
    <row r="29" spans="1:19" x14ac:dyDescent="0.3">
      <c r="A29" s="48"/>
      <c r="B29" s="43">
        <v>2022</v>
      </c>
      <c r="C29" s="44" t="s">
        <v>109</v>
      </c>
      <c r="D29" s="94" t="s">
        <v>110</v>
      </c>
      <c r="E29" s="36">
        <v>3150</v>
      </c>
      <c r="F29" s="37">
        <v>3101</v>
      </c>
      <c r="G29" s="51" t="s">
        <v>120</v>
      </c>
      <c r="H29" s="34">
        <v>0</v>
      </c>
      <c r="I29" s="102">
        <v>0</v>
      </c>
      <c r="J29" s="34">
        <v>0</v>
      </c>
      <c r="K29" s="34">
        <v>0</v>
      </c>
      <c r="L29" s="34"/>
      <c r="M29" s="34">
        <v>46</v>
      </c>
      <c r="N29" s="49" t="s">
        <v>138</v>
      </c>
      <c r="O29" s="57" t="s">
        <v>68</v>
      </c>
      <c r="P29" s="34">
        <v>3</v>
      </c>
      <c r="R29" s="40"/>
      <c r="S29" s="40"/>
    </row>
    <row r="30" spans="1:19" x14ac:dyDescent="0.3">
      <c r="A30" s="48"/>
      <c r="B30" s="59">
        <v>2022</v>
      </c>
      <c r="C30" s="60" t="s">
        <v>0</v>
      </c>
      <c r="D30" s="94" t="s">
        <v>153</v>
      </c>
      <c r="E30" s="36">
        <v>10000</v>
      </c>
      <c r="F30" s="37">
        <v>504</v>
      </c>
      <c r="G30" s="64" t="s">
        <v>155</v>
      </c>
      <c r="H30" s="34">
        <v>883</v>
      </c>
      <c r="I30" s="104" t="s">
        <v>156</v>
      </c>
      <c r="J30" s="34"/>
      <c r="K30" s="34"/>
      <c r="L30" s="34"/>
      <c r="M30" s="34">
        <v>7028</v>
      </c>
      <c r="N30" s="49" t="s">
        <v>154</v>
      </c>
      <c r="O30" s="57" t="s">
        <v>68</v>
      </c>
      <c r="P30" s="34">
        <v>1585</v>
      </c>
      <c r="R30" s="40"/>
      <c r="S30" s="40"/>
    </row>
    <row r="31" spans="1:19" x14ac:dyDescent="0.3">
      <c r="A31" s="48"/>
      <c r="B31" s="59">
        <v>2023</v>
      </c>
      <c r="C31" s="60" t="s">
        <v>157</v>
      </c>
      <c r="D31" s="124" t="s">
        <v>162</v>
      </c>
      <c r="E31" s="36">
        <v>7851</v>
      </c>
      <c r="F31" s="129">
        <v>5252</v>
      </c>
      <c r="G31" s="132" t="s">
        <v>160</v>
      </c>
      <c r="H31" s="130">
        <v>1860</v>
      </c>
      <c r="I31" s="131" t="s">
        <v>159</v>
      </c>
      <c r="J31" s="34"/>
      <c r="K31" s="34"/>
      <c r="L31" s="34"/>
      <c r="M31" s="125">
        <v>0</v>
      </c>
      <c r="N31" s="125">
        <v>0</v>
      </c>
      <c r="O31" s="127">
        <v>0</v>
      </c>
      <c r="P31" s="125">
        <v>527</v>
      </c>
      <c r="R31" s="40"/>
      <c r="S31" s="40"/>
    </row>
    <row r="32" spans="1:19" x14ac:dyDescent="0.3">
      <c r="A32" s="48"/>
      <c r="B32" s="59">
        <v>2023</v>
      </c>
      <c r="C32" s="60" t="s">
        <v>157</v>
      </c>
      <c r="D32" s="124"/>
      <c r="E32" s="36">
        <v>2000</v>
      </c>
      <c r="F32" s="129"/>
      <c r="G32" s="132"/>
      <c r="H32" s="130"/>
      <c r="I32" s="131"/>
      <c r="J32" s="34"/>
      <c r="K32" s="34"/>
      <c r="L32" s="34"/>
      <c r="M32" s="126"/>
      <c r="N32" s="126"/>
      <c r="O32" s="128"/>
      <c r="P32" s="126"/>
      <c r="R32" s="40"/>
      <c r="S32" s="40"/>
    </row>
    <row r="33" spans="1:19" x14ac:dyDescent="0.3">
      <c r="A33" s="48"/>
      <c r="B33" s="88">
        <v>2023</v>
      </c>
      <c r="C33" s="91" t="s">
        <v>158</v>
      </c>
      <c r="D33" s="86" t="s">
        <v>161</v>
      </c>
      <c r="E33" s="95">
        <v>675</v>
      </c>
      <c r="F33" s="96">
        <v>547</v>
      </c>
      <c r="G33" s="80" t="s">
        <v>163</v>
      </c>
      <c r="H33" s="85">
        <v>115</v>
      </c>
      <c r="I33" s="81" t="s">
        <v>164</v>
      </c>
      <c r="J33" s="85"/>
      <c r="K33" s="85"/>
      <c r="L33" s="85"/>
      <c r="M33" s="85">
        <v>0</v>
      </c>
      <c r="N33" s="89">
        <v>0</v>
      </c>
      <c r="O33" s="85">
        <v>0</v>
      </c>
      <c r="P33" s="85">
        <v>13</v>
      </c>
      <c r="R33" s="40"/>
      <c r="S33" s="40"/>
    </row>
    <row r="34" spans="1:19" x14ac:dyDescent="0.3">
      <c r="A34" s="48"/>
      <c r="B34" s="88">
        <v>2024</v>
      </c>
      <c r="C34" s="91" t="s">
        <v>0</v>
      </c>
      <c r="D34" s="88" t="s">
        <v>259</v>
      </c>
      <c r="E34" s="95">
        <v>4920</v>
      </c>
      <c r="F34" s="96">
        <v>4824</v>
      </c>
      <c r="G34" s="80" t="s">
        <v>263</v>
      </c>
      <c r="H34" s="85">
        <v>13</v>
      </c>
      <c r="I34" s="81" t="s">
        <v>267</v>
      </c>
      <c r="J34" s="85"/>
      <c r="K34" s="85"/>
      <c r="L34" s="85"/>
      <c r="M34" s="85">
        <v>0</v>
      </c>
      <c r="N34" s="89">
        <v>0</v>
      </c>
      <c r="O34" s="85">
        <v>0</v>
      </c>
      <c r="P34" s="85">
        <v>83</v>
      </c>
      <c r="Q34" s="65"/>
      <c r="R34" s="40"/>
      <c r="S34" s="40"/>
    </row>
    <row r="35" spans="1:19" x14ac:dyDescent="0.3">
      <c r="A35" s="48"/>
      <c r="B35" s="88">
        <v>2024</v>
      </c>
      <c r="C35" s="91" t="s">
        <v>0</v>
      </c>
      <c r="D35" s="91" t="s">
        <v>260</v>
      </c>
      <c r="E35" s="95">
        <v>1920</v>
      </c>
      <c r="F35" s="96">
        <v>1890</v>
      </c>
      <c r="G35" s="80" t="s">
        <v>264</v>
      </c>
      <c r="H35" s="85">
        <v>0</v>
      </c>
      <c r="I35" s="81">
        <v>0</v>
      </c>
      <c r="J35" s="85"/>
      <c r="K35" s="85"/>
      <c r="L35" s="85"/>
      <c r="M35" s="85">
        <v>0</v>
      </c>
      <c r="N35" s="89">
        <v>0</v>
      </c>
      <c r="O35" s="85">
        <v>0</v>
      </c>
      <c r="P35" s="85">
        <v>30</v>
      </c>
      <c r="Q35" s="65"/>
      <c r="R35" s="40"/>
      <c r="S35" s="40"/>
    </row>
    <row r="36" spans="1:19" x14ac:dyDescent="0.3">
      <c r="A36" s="48"/>
      <c r="B36" s="88">
        <v>2024</v>
      </c>
      <c r="C36" s="91" t="s">
        <v>0</v>
      </c>
      <c r="D36" s="91" t="s">
        <v>261</v>
      </c>
      <c r="E36" s="95">
        <v>960</v>
      </c>
      <c r="F36" s="96">
        <v>945</v>
      </c>
      <c r="G36" s="80" t="s">
        <v>265</v>
      </c>
      <c r="H36" s="85">
        <v>0</v>
      </c>
      <c r="I36" s="81">
        <v>0</v>
      </c>
      <c r="J36" s="85"/>
      <c r="K36" s="85"/>
      <c r="L36" s="85"/>
      <c r="M36" s="85">
        <v>0</v>
      </c>
      <c r="N36" s="89">
        <v>0</v>
      </c>
      <c r="O36" s="85">
        <v>0</v>
      </c>
      <c r="P36" s="85">
        <v>15</v>
      </c>
      <c r="Q36" s="65"/>
      <c r="R36" s="40"/>
      <c r="S36" s="40"/>
    </row>
    <row r="37" spans="1:19" x14ac:dyDescent="0.3">
      <c r="A37" s="48"/>
      <c r="B37" s="88">
        <v>2024</v>
      </c>
      <c r="C37" s="91" t="s">
        <v>0</v>
      </c>
      <c r="D37" s="91" t="s">
        <v>262</v>
      </c>
      <c r="E37" s="95">
        <v>960</v>
      </c>
      <c r="F37" s="96">
        <v>945</v>
      </c>
      <c r="G37" s="80" t="s">
        <v>266</v>
      </c>
      <c r="H37" s="85">
        <v>0</v>
      </c>
      <c r="I37" s="81">
        <v>0</v>
      </c>
      <c r="J37" s="85"/>
      <c r="K37" s="85"/>
      <c r="L37" s="85"/>
      <c r="M37" s="85">
        <v>0</v>
      </c>
      <c r="N37" s="89">
        <v>0</v>
      </c>
      <c r="O37" s="85">
        <v>0</v>
      </c>
      <c r="P37" s="85">
        <v>15</v>
      </c>
      <c r="Q37" s="65"/>
      <c r="R37" s="40"/>
      <c r="S37" s="40"/>
    </row>
    <row r="38" spans="1:19" x14ac:dyDescent="0.3">
      <c r="B38" s="88">
        <v>2024</v>
      </c>
      <c r="C38" s="91" t="s">
        <v>1</v>
      </c>
      <c r="D38" s="86" t="s">
        <v>269</v>
      </c>
      <c r="E38" s="95">
        <v>10000</v>
      </c>
      <c r="F38" s="96">
        <v>9601</v>
      </c>
      <c r="G38" s="80" t="s">
        <v>271</v>
      </c>
      <c r="H38" s="85">
        <v>213</v>
      </c>
      <c r="I38" s="81" t="s">
        <v>270</v>
      </c>
      <c r="J38" s="85"/>
      <c r="K38" s="85"/>
      <c r="L38" s="85"/>
      <c r="M38" s="85">
        <v>0</v>
      </c>
      <c r="N38" s="89">
        <v>0</v>
      </c>
      <c r="O38" s="85">
        <v>0</v>
      </c>
      <c r="P38" s="85">
        <v>186</v>
      </c>
    </row>
    <row r="39" spans="1:19" x14ac:dyDescent="0.3">
      <c r="B39" s="88">
        <v>2024</v>
      </c>
      <c r="C39" s="91" t="s">
        <v>230</v>
      </c>
      <c r="D39" s="86" t="s">
        <v>268</v>
      </c>
      <c r="E39" s="95">
        <v>705</v>
      </c>
      <c r="F39" s="96">
        <v>695</v>
      </c>
      <c r="G39" s="80" t="s">
        <v>272</v>
      </c>
      <c r="H39" s="85">
        <v>0</v>
      </c>
      <c r="I39" s="81">
        <v>0</v>
      </c>
      <c r="J39" s="85"/>
      <c r="K39" s="85"/>
      <c r="L39" s="85"/>
      <c r="M39" s="85">
        <v>0</v>
      </c>
      <c r="N39" s="89">
        <v>0</v>
      </c>
      <c r="O39" s="85">
        <v>0</v>
      </c>
      <c r="P39" s="85">
        <v>10</v>
      </c>
    </row>
    <row r="40" spans="1:19" x14ac:dyDescent="0.3">
      <c r="B40" s="88">
        <v>2025</v>
      </c>
      <c r="C40" s="91" t="s">
        <v>0</v>
      </c>
      <c r="D40" s="86" t="s">
        <v>252</v>
      </c>
      <c r="E40" s="95">
        <v>3600</v>
      </c>
      <c r="F40" s="96">
        <v>2956</v>
      </c>
      <c r="G40" s="80" t="s">
        <v>248</v>
      </c>
      <c r="H40" s="85">
        <v>60</v>
      </c>
      <c r="I40" s="81" t="s">
        <v>249</v>
      </c>
      <c r="J40" s="85"/>
      <c r="K40" s="85"/>
      <c r="L40" s="85"/>
      <c r="M40" s="85">
        <v>0</v>
      </c>
      <c r="N40" s="89">
        <v>0</v>
      </c>
      <c r="O40" s="80">
        <v>0</v>
      </c>
      <c r="P40" s="85">
        <v>44</v>
      </c>
    </row>
    <row r="41" spans="1:19" x14ac:dyDescent="0.3">
      <c r="B41" s="88">
        <v>2025</v>
      </c>
      <c r="C41" s="91" t="s">
        <v>231</v>
      </c>
      <c r="D41" s="86" t="s">
        <v>253</v>
      </c>
      <c r="E41" s="95">
        <v>13251</v>
      </c>
      <c r="F41" s="96">
        <v>8300</v>
      </c>
      <c r="G41" s="80" t="s">
        <v>255</v>
      </c>
      <c r="H41" s="85">
        <v>4115</v>
      </c>
      <c r="I41" s="81" t="s">
        <v>257</v>
      </c>
      <c r="J41" s="85"/>
      <c r="K41" s="85"/>
      <c r="L41" s="85"/>
      <c r="M41" s="85">
        <v>0</v>
      </c>
      <c r="N41" s="89">
        <v>0</v>
      </c>
      <c r="O41" s="80">
        <v>0</v>
      </c>
      <c r="P41" s="85">
        <v>836</v>
      </c>
    </row>
    <row r="42" spans="1:19" x14ac:dyDescent="0.3">
      <c r="B42" s="88">
        <v>2025</v>
      </c>
      <c r="C42" s="91" t="s">
        <v>230</v>
      </c>
      <c r="D42" s="86" t="s">
        <v>254</v>
      </c>
      <c r="E42" s="95">
        <v>5463</v>
      </c>
      <c r="F42" s="96">
        <v>2909</v>
      </c>
      <c r="G42" s="80" t="s">
        <v>256</v>
      </c>
      <c r="H42" s="85">
        <v>2368</v>
      </c>
      <c r="I42" s="81" t="s">
        <v>258</v>
      </c>
      <c r="J42" s="85"/>
      <c r="K42" s="85"/>
      <c r="L42" s="85"/>
      <c r="M42" s="85">
        <v>0</v>
      </c>
      <c r="N42" s="89">
        <v>0</v>
      </c>
      <c r="O42" s="80">
        <v>0</v>
      </c>
      <c r="P42" s="85">
        <v>186</v>
      </c>
    </row>
    <row r="43" spans="1:19" x14ac:dyDescent="0.3">
      <c r="B43" s="88">
        <v>2025</v>
      </c>
      <c r="C43" s="91" t="s">
        <v>229</v>
      </c>
      <c r="D43" s="86" t="s">
        <v>274</v>
      </c>
      <c r="E43" s="95">
        <v>1998</v>
      </c>
      <c r="F43" s="96">
        <v>1379</v>
      </c>
      <c r="G43" s="80" t="s">
        <v>250</v>
      </c>
      <c r="H43" s="85">
        <v>600</v>
      </c>
      <c r="I43" s="81" t="s">
        <v>251</v>
      </c>
      <c r="J43" s="85"/>
      <c r="K43" s="85"/>
      <c r="L43" s="85"/>
      <c r="M43" s="85">
        <v>0</v>
      </c>
      <c r="N43" s="89">
        <v>0</v>
      </c>
      <c r="O43" s="80">
        <v>0</v>
      </c>
      <c r="P43" s="85">
        <v>19.399999999999999</v>
      </c>
    </row>
    <row r="44" spans="1:19" x14ac:dyDescent="0.3">
      <c r="B44" s="88">
        <v>2026</v>
      </c>
      <c r="C44" s="91" t="s">
        <v>0</v>
      </c>
      <c r="D44" s="86" t="s">
        <v>273</v>
      </c>
      <c r="E44" s="95">
        <v>5000</v>
      </c>
      <c r="F44" s="96">
        <v>166</v>
      </c>
      <c r="G44" s="80" t="s">
        <v>279</v>
      </c>
      <c r="H44" s="85">
        <v>2612</v>
      </c>
      <c r="I44" s="81" t="s">
        <v>280</v>
      </c>
      <c r="J44" s="85"/>
      <c r="K44" s="85"/>
      <c r="L44" s="85"/>
      <c r="M44" s="85">
        <v>2114</v>
      </c>
      <c r="N44" s="89" t="s">
        <v>278</v>
      </c>
      <c r="O44" s="76" t="s">
        <v>68</v>
      </c>
      <c r="P44" s="85">
        <v>108</v>
      </c>
    </row>
    <row r="45" spans="1:19" x14ac:dyDescent="0.3">
      <c r="B45" s="88">
        <v>2026</v>
      </c>
      <c r="C45" s="91" t="s">
        <v>231</v>
      </c>
      <c r="D45" s="86" t="s">
        <v>275</v>
      </c>
      <c r="E45" s="95">
        <v>14798</v>
      </c>
      <c r="F45" s="96">
        <v>40</v>
      </c>
      <c r="G45" s="80" t="s">
        <v>276</v>
      </c>
      <c r="H45" s="85">
        <v>2871</v>
      </c>
      <c r="I45" s="81" t="s">
        <v>277</v>
      </c>
      <c r="J45" s="85"/>
      <c r="K45" s="85"/>
      <c r="L45" s="85"/>
      <c r="M45" s="85">
        <v>0</v>
      </c>
      <c r="N45" s="89">
        <v>0</v>
      </c>
      <c r="O45" s="80">
        <v>0</v>
      </c>
      <c r="P45" s="85">
        <v>1</v>
      </c>
    </row>
  </sheetData>
  <mergeCells count="18">
    <mergeCell ref="D31:D32"/>
    <mergeCell ref="P31:P32"/>
    <mergeCell ref="M31:M32"/>
    <mergeCell ref="N31:N32"/>
    <mergeCell ref="O31:O32"/>
    <mergeCell ref="F31:F32"/>
    <mergeCell ref="H31:H32"/>
    <mergeCell ref="I31:I32"/>
    <mergeCell ref="G31:G32"/>
    <mergeCell ref="B1:E1"/>
    <mergeCell ref="M5:O5"/>
    <mergeCell ref="F5:G5"/>
    <mergeCell ref="H5:I5"/>
    <mergeCell ref="J5:L5"/>
    <mergeCell ref="C4:E5"/>
    <mergeCell ref="F4:P4"/>
    <mergeCell ref="B4:B6"/>
    <mergeCell ref="C2:P2"/>
  </mergeCells>
  <phoneticPr fontId="1" type="noConversion"/>
  <pageMargins left="0.7" right="0.7" top="0.75" bottom="0.75" header="0.3" footer="0.3"/>
  <pageSetup paperSize="9" scale="3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7AD3-E66D-4C56-8ED5-7B188ED41DDE}">
  <dimension ref="A1:O41"/>
  <sheetViews>
    <sheetView zoomScale="85" zoomScaleNormal="85" workbookViewId="0">
      <selection activeCell="E38" sqref="E38"/>
    </sheetView>
  </sheetViews>
  <sheetFormatPr defaultRowHeight="16.5" x14ac:dyDescent="0.3"/>
  <cols>
    <col min="1" max="1" width="1" customWidth="1"/>
    <col min="4" max="4" width="20.875" customWidth="1"/>
    <col min="5" max="5" width="9.375" bestFit="1" customWidth="1"/>
    <col min="6" max="6" width="11.5" customWidth="1"/>
    <col min="7" max="7" width="18.375" style="99" customWidth="1"/>
    <col min="8" max="8" width="11.5" customWidth="1"/>
    <col min="9" max="9" width="14.625" style="99" bestFit="1" customWidth="1"/>
    <col min="11" max="11" width="16.25" bestFit="1" customWidth="1"/>
    <col min="13" max="13" width="10.625" customWidth="1"/>
  </cols>
  <sheetData>
    <row r="1" spans="1:13" ht="33" customHeight="1" x14ac:dyDescent="0.3">
      <c r="B1" s="111" t="s">
        <v>225</v>
      </c>
      <c r="C1" s="133"/>
      <c r="D1" s="133"/>
      <c r="E1" s="133"/>
      <c r="F1" s="18"/>
      <c r="G1" s="107"/>
      <c r="H1" s="18"/>
      <c r="I1" s="107"/>
      <c r="J1" s="18"/>
      <c r="K1" s="18"/>
      <c r="L1" s="18"/>
      <c r="M1" s="18"/>
    </row>
    <row r="2" spans="1:13" ht="33" customHeight="1" x14ac:dyDescent="0.3">
      <c r="B2" s="106"/>
      <c r="C2" s="123" t="s">
        <v>228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</row>
    <row r="3" spans="1:13" ht="18" customHeight="1" x14ac:dyDescent="0.3">
      <c r="B3" s="70"/>
      <c r="C3" s="93"/>
      <c r="D3" s="93"/>
      <c r="E3" s="93"/>
      <c r="L3" s="31"/>
      <c r="M3" s="31" t="s">
        <v>226</v>
      </c>
    </row>
    <row r="4" spans="1:13" x14ac:dyDescent="0.3">
      <c r="B4" s="122" t="s">
        <v>9</v>
      </c>
      <c r="C4" s="134" t="s">
        <v>69</v>
      </c>
      <c r="D4" s="135"/>
      <c r="E4" s="135"/>
      <c r="F4" s="114" t="s">
        <v>39</v>
      </c>
      <c r="G4" s="115"/>
      <c r="H4" s="114" t="s">
        <v>40</v>
      </c>
      <c r="I4" s="115"/>
      <c r="J4" s="113" t="s">
        <v>71</v>
      </c>
      <c r="K4" s="113"/>
      <c r="L4" s="113"/>
      <c r="M4" s="98" t="s">
        <v>72</v>
      </c>
    </row>
    <row r="5" spans="1:13" x14ac:dyDescent="0.3">
      <c r="B5" s="122"/>
      <c r="C5" s="10" t="s">
        <v>10</v>
      </c>
      <c r="D5" s="10" t="s">
        <v>5</v>
      </c>
      <c r="E5" s="10" t="s">
        <v>41</v>
      </c>
      <c r="F5" s="11" t="s">
        <v>41</v>
      </c>
      <c r="G5" s="100" t="s">
        <v>84</v>
      </c>
      <c r="H5" s="32" t="s">
        <v>41</v>
      </c>
      <c r="I5" s="100" t="s">
        <v>84</v>
      </c>
      <c r="J5" s="11" t="s">
        <v>41</v>
      </c>
      <c r="K5" s="11" t="s">
        <v>5</v>
      </c>
      <c r="L5" s="11" t="s">
        <v>76</v>
      </c>
      <c r="M5" s="11" t="s">
        <v>41</v>
      </c>
    </row>
    <row r="6" spans="1:13" x14ac:dyDescent="0.3">
      <c r="A6" s="72"/>
      <c r="B6" s="92">
        <v>2017</v>
      </c>
      <c r="C6" s="87" t="s">
        <v>0</v>
      </c>
      <c r="D6" s="86" t="s">
        <v>224</v>
      </c>
      <c r="E6" s="85">
        <v>14324</v>
      </c>
      <c r="F6" s="82">
        <v>4352</v>
      </c>
      <c r="G6" s="108" t="s">
        <v>223</v>
      </c>
      <c r="H6" s="84">
        <v>9972</v>
      </c>
      <c r="I6" s="108" t="s">
        <v>222</v>
      </c>
      <c r="J6" s="82">
        <v>0</v>
      </c>
      <c r="K6" s="82">
        <v>0</v>
      </c>
      <c r="L6" s="82">
        <v>0</v>
      </c>
      <c r="M6" s="82">
        <v>0</v>
      </c>
    </row>
    <row r="7" spans="1:13" x14ac:dyDescent="0.3">
      <c r="A7" s="72"/>
      <c r="B7" s="92">
        <v>2017</v>
      </c>
      <c r="C7" s="87" t="s">
        <v>1</v>
      </c>
      <c r="D7" s="86" t="s">
        <v>221</v>
      </c>
      <c r="E7" s="85">
        <v>2918</v>
      </c>
      <c r="F7" s="82">
        <v>2886</v>
      </c>
      <c r="G7" s="108" t="s">
        <v>220</v>
      </c>
      <c r="H7" s="82">
        <v>0</v>
      </c>
      <c r="I7" s="108">
        <v>0</v>
      </c>
      <c r="J7" s="82">
        <v>0</v>
      </c>
      <c r="K7" s="82">
        <v>0</v>
      </c>
      <c r="L7" s="82">
        <v>0</v>
      </c>
      <c r="M7" s="82">
        <v>32</v>
      </c>
    </row>
    <row r="8" spans="1:13" x14ac:dyDescent="0.3">
      <c r="A8" s="72"/>
      <c r="B8" s="92">
        <v>2017</v>
      </c>
      <c r="C8" s="87" t="s">
        <v>2</v>
      </c>
      <c r="D8" s="86" t="s">
        <v>219</v>
      </c>
      <c r="E8" s="85">
        <v>889</v>
      </c>
      <c r="F8" s="82">
        <v>0</v>
      </c>
      <c r="G8" s="81"/>
      <c r="H8" s="82">
        <v>889</v>
      </c>
      <c r="I8" s="108" t="s">
        <v>218</v>
      </c>
      <c r="J8" s="82">
        <v>0</v>
      </c>
      <c r="K8" s="82">
        <v>0</v>
      </c>
      <c r="L8" s="82">
        <v>0</v>
      </c>
      <c r="M8" s="82">
        <v>0</v>
      </c>
    </row>
    <row r="9" spans="1:13" x14ac:dyDescent="0.3">
      <c r="A9" s="72"/>
      <c r="B9" s="92">
        <v>2017</v>
      </c>
      <c r="C9" s="87" t="s">
        <v>3</v>
      </c>
      <c r="D9" s="86" t="s">
        <v>217</v>
      </c>
      <c r="E9" s="85">
        <v>900</v>
      </c>
      <c r="F9" s="82">
        <v>0</v>
      </c>
      <c r="G9" s="81"/>
      <c r="H9" s="82">
        <v>900</v>
      </c>
      <c r="I9" s="108" t="s">
        <v>216</v>
      </c>
      <c r="J9" s="82">
        <v>0</v>
      </c>
      <c r="K9" s="82">
        <v>0</v>
      </c>
      <c r="L9" s="82">
        <v>0</v>
      </c>
      <c r="M9" s="82">
        <v>0</v>
      </c>
    </row>
    <row r="10" spans="1:13" x14ac:dyDescent="0.3">
      <c r="A10" s="72"/>
      <c r="B10" s="92">
        <v>2018</v>
      </c>
      <c r="C10" s="87" t="s">
        <v>0</v>
      </c>
      <c r="D10" s="86" t="s">
        <v>31</v>
      </c>
      <c r="E10" s="85">
        <v>2992</v>
      </c>
      <c r="F10" s="82">
        <v>2987</v>
      </c>
      <c r="G10" s="108" t="s">
        <v>215</v>
      </c>
      <c r="H10" s="82">
        <v>0</v>
      </c>
      <c r="I10" s="108">
        <v>0</v>
      </c>
      <c r="J10" s="82">
        <v>0</v>
      </c>
      <c r="K10" s="82">
        <v>0</v>
      </c>
      <c r="L10" s="82">
        <v>0</v>
      </c>
      <c r="M10" s="82">
        <v>5</v>
      </c>
    </row>
    <row r="11" spans="1:13" x14ac:dyDescent="0.3">
      <c r="A11" s="72"/>
      <c r="B11" s="92">
        <v>2018</v>
      </c>
      <c r="C11" s="87" t="s">
        <v>2</v>
      </c>
      <c r="D11" s="86" t="s">
        <v>214</v>
      </c>
      <c r="E11" s="85">
        <v>1273</v>
      </c>
      <c r="F11" s="82">
        <v>1011</v>
      </c>
      <c r="G11" s="108" t="s">
        <v>213</v>
      </c>
      <c r="H11" s="82">
        <v>262</v>
      </c>
      <c r="I11" s="108" t="s">
        <v>213</v>
      </c>
      <c r="J11" s="82">
        <v>0</v>
      </c>
      <c r="K11" s="82">
        <v>0</v>
      </c>
      <c r="L11" s="82">
        <v>0</v>
      </c>
      <c r="M11" s="82">
        <v>0</v>
      </c>
    </row>
    <row r="12" spans="1:13" x14ac:dyDescent="0.3">
      <c r="A12" s="72"/>
      <c r="B12" s="92">
        <v>2018</v>
      </c>
      <c r="C12" s="87" t="s">
        <v>3</v>
      </c>
      <c r="D12" s="86" t="s">
        <v>212</v>
      </c>
      <c r="E12" s="85">
        <v>2000</v>
      </c>
      <c r="F12" s="82">
        <v>0</v>
      </c>
      <c r="G12" s="81"/>
      <c r="H12" s="82">
        <v>0</v>
      </c>
      <c r="I12" s="108">
        <v>0</v>
      </c>
      <c r="J12" s="82">
        <v>1626</v>
      </c>
      <c r="K12" s="83" t="s">
        <v>211</v>
      </c>
      <c r="L12" s="82" t="s">
        <v>68</v>
      </c>
      <c r="M12" s="82">
        <v>374</v>
      </c>
    </row>
    <row r="13" spans="1:13" x14ac:dyDescent="0.3">
      <c r="A13" s="72"/>
      <c r="B13" s="91">
        <v>2019</v>
      </c>
      <c r="C13" s="90" t="s">
        <v>0</v>
      </c>
      <c r="D13" s="86" t="s">
        <v>210</v>
      </c>
      <c r="E13" s="85">
        <v>4000</v>
      </c>
      <c r="F13" s="82">
        <v>0</v>
      </c>
      <c r="G13" s="81"/>
      <c r="H13" s="82">
        <v>0</v>
      </c>
      <c r="I13" s="108">
        <v>0</v>
      </c>
      <c r="J13" s="82">
        <v>4000</v>
      </c>
      <c r="K13" s="83" t="s">
        <v>209</v>
      </c>
      <c r="L13" s="82" t="s">
        <v>68</v>
      </c>
      <c r="M13" s="82">
        <v>0</v>
      </c>
    </row>
    <row r="14" spans="1:13" x14ac:dyDescent="0.3">
      <c r="A14" s="72"/>
      <c r="B14" s="92">
        <v>2019</v>
      </c>
      <c r="C14" s="87" t="s">
        <v>3</v>
      </c>
      <c r="D14" s="86" t="s">
        <v>208</v>
      </c>
      <c r="E14" s="85">
        <v>4038</v>
      </c>
      <c r="F14" s="82">
        <v>3628</v>
      </c>
      <c r="G14" s="81" t="s">
        <v>207</v>
      </c>
      <c r="H14" s="82">
        <v>0</v>
      </c>
      <c r="I14" s="108">
        <v>0</v>
      </c>
      <c r="J14" s="82">
        <v>313</v>
      </c>
      <c r="K14" s="83" t="s">
        <v>206</v>
      </c>
      <c r="L14" s="82" t="s">
        <v>68</v>
      </c>
      <c r="M14" s="82">
        <v>97</v>
      </c>
    </row>
    <row r="15" spans="1:13" x14ac:dyDescent="0.3">
      <c r="A15" s="72"/>
      <c r="B15" s="92">
        <v>2020</v>
      </c>
      <c r="C15" s="87" t="s">
        <v>1</v>
      </c>
      <c r="D15" s="86" t="s">
        <v>205</v>
      </c>
      <c r="E15" s="85">
        <v>1501</v>
      </c>
      <c r="F15" s="82">
        <v>502</v>
      </c>
      <c r="G15" s="81" t="s">
        <v>204</v>
      </c>
      <c r="H15" s="82">
        <v>0</v>
      </c>
      <c r="I15" s="108">
        <v>0</v>
      </c>
      <c r="J15" s="82">
        <v>997</v>
      </c>
      <c r="K15" s="83" t="s">
        <v>203</v>
      </c>
      <c r="L15" s="82" t="s">
        <v>68</v>
      </c>
      <c r="M15" s="82">
        <v>2</v>
      </c>
    </row>
    <row r="16" spans="1:13" x14ac:dyDescent="0.3">
      <c r="A16" s="72"/>
      <c r="B16" s="92">
        <v>2020</v>
      </c>
      <c r="C16" s="87" t="s">
        <v>0</v>
      </c>
      <c r="D16" s="86" t="s">
        <v>202</v>
      </c>
      <c r="E16" s="85">
        <v>2800</v>
      </c>
      <c r="F16" s="82">
        <v>0</v>
      </c>
      <c r="G16" s="81"/>
      <c r="H16" s="82">
        <v>0</v>
      </c>
      <c r="I16" s="108">
        <v>0</v>
      </c>
      <c r="J16" s="82">
        <v>2790</v>
      </c>
      <c r="K16" s="83" t="s">
        <v>201</v>
      </c>
      <c r="L16" s="82" t="s">
        <v>68</v>
      </c>
      <c r="M16" s="82">
        <v>10</v>
      </c>
    </row>
    <row r="17" spans="1:15" x14ac:dyDescent="0.3">
      <c r="A17" s="72"/>
      <c r="B17" s="92">
        <v>2021</v>
      </c>
      <c r="C17" s="87" t="s">
        <v>0</v>
      </c>
      <c r="D17" s="86" t="s">
        <v>200</v>
      </c>
      <c r="E17" s="85">
        <v>3000</v>
      </c>
      <c r="F17" s="82">
        <v>0</v>
      </c>
      <c r="G17" s="81"/>
      <c r="H17" s="82">
        <v>0</v>
      </c>
      <c r="I17" s="108">
        <v>0</v>
      </c>
      <c r="J17" s="82">
        <v>3000</v>
      </c>
      <c r="K17" s="83" t="s">
        <v>199</v>
      </c>
      <c r="L17" s="82" t="s">
        <v>68</v>
      </c>
      <c r="M17" s="82">
        <v>0</v>
      </c>
    </row>
    <row r="18" spans="1:15" x14ac:dyDescent="0.3">
      <c r="A18" s="72"/>
      <c r="B18" s="92">
        <v>2021</v>
      </c>
      <c r="C18" s="87" t="s">
        <v>1</v>
      </c>
      <c r="D18" s="86" t="s">
        <v>198</v>
      </c>
      <c r="E18" s="85">
        <v>1000</v>
      </c>
      <c r="F18" s="82">
        <v>0</v>
      </c>
      <c r="G18" s="81"/>
      <c r="H18" s="82">
        <v>0</v>
      </c>
      <c r="I18" s="108">
        <v>0</v>
      </c>
      <c r="J18" s="82">
        <v>994</v>
      </c>
      <c r="K18" s="83" t="s">
        <v>197</v>
      </c>
      <c r="L18" s="82" t="s">
        <v>68</v>
      </c>
      <c r="M18" s="82">
        <v>6</v>
      </c>
    </row>
    <row r="19" spans="1:15" x14ac:dyDescent="0.3">
      <c r="A19" s="72"/>
      <c r="B19" s="92">
        <v>2021</v>
      </c>
      <c r="C19" s="87" t="s">
        <v>3</v>
      </c>
      <c r="D19" s="86" t="s">
        <v>196</v>
      </c>
      <c r="E19" s="85">
        <v>1000</v>
      </c>
      <c r="F19" s="82">
        <v>30</v>
      </c>
      <c r="G19" s="81" t="s">
        <v>195</v>
      </c>
      <c r="H19" s="82">
        <v>0</v>
      </c>
      <c r="I19" s="108">
        <v>0</v>
      </c>
      <c r="J19" s="82">
        <v>960</v>
      </c>
      <c r="K19" s="83" t="s">
        <v>194</v>
      </c>
      <c r="L19" s="82" t="s">
        <v>68</v>
      </c>
      <c r="M19" s="82">
        <v>10</v>
      </c>
    </row>
    <row r="20" spans="1:15" x14ac:dyDescent="0.3">
      <c r="A20" s="72"/>
      <c r="B20" s="92">
        <v>2021</v>
      </c>
      <c r="C20" s="87" t="s">
        <v>0</v>
      </c>
      <c r="D20" s="86" t="s">
        <v>193</v>
      </c>
      <c r="E20" s="85">
        <v>1000</v>
      </c>
      <c r="F20" s="82">
        <v>0</v>
      </c>
      <c r="G20" s="81"/>
      <c r="H20" s="82">
        <v>50</v>
      </c>
      <c r="I20" s="108" t="s">
        <v>192</v>
      </c>
      <c r="J20" s="82">
        <v>949</v>
      </c>
      <c r="K20" s="83" t="s">
        <v>191</v>
      </c>
      <c r="L20" s="82" t="s">
        <v>68</v>
      </c>
      <c r="M20" s="82">
        <v>1</v>
      </c>
    </row>
    <row r="21" spans="1:15" x14ac:dyDescent="0.3">
      <c r="A21" s="72"/>
      <c r="B21" s="92">
        <v>2022</v>
      </c>
      <c r="C21" s="87" t="s">
        <v>1</v>
      </c>
      <c r="D21" s="86" t="s">
        <v>190</v>
      </c>
      <c r="E21" s="85">
        <v>2000</v>
      </c>
      <c r="F21" s="82">
        <v>1988</v>
      </c>
      <c r="G21" s="81" t="s">
        <v>189</v>
      </c>
      <c r="H21" s="82">
        <v>0</v>
      </c>
      <c r="I21" s="108">
        <v>0</v>
      </c>
      <c r="J21" s="82">
        <v>2</v>
      </c>
      <c r="K21" s="83" t="s">
        <v>188</v>
      </c>
      <c r="L21" s="82" t="s">
        <v>68</v>
      </c>
      <c r="M21" s="82">
        <v>10</v>
      </c>
    </row>
    <row r="22" spans="1:15" x14ac:dyDescent="0.3">
      <c r="A22" s="72"/>
      <c r="B22" s="92">
        <v>2022</v>
      </c>
      <c r="C22" s="87" t="s">
        <v>79</v>
      </c>
      <c r="D22" s="86" t="s">
        <v>187</v>
      </c>
      <c r="E22" s="85">
        <v>5000</v>
      </c>
      <c r="F22" s="82">
        <v>2638</v>
      </c>
      <c r="G22" s="81" t="s">
        <v>186</v>
      </c>
      <c r="H22" s="82">
        <v>0</v>
      </c>
      <c r="I22" s="108">
        <v>0</v>
      </c>
      <c r="J22" s="82">
        <v>2346</v>
      </c>
      <c r="K22" s="83" t="s">
        <v>185</v>
      </c>
      <c r="L22" s="82" t="s">
        <v>68</v>
      </c>
      <c r="M22" s="82">
        <v>16</v>
      </c>
    </row>
    <row r="23" spans="1:15" s="77" customFormat="1" x14ac:dyDescent="0.3">
      <c r="A23" s="79"/>
      <c r="B23" s="76">
        <v>2023</v>
      </c>
      <c r="C23" s="76" t="s">
        <v>0</v>
      </c>
      <c r="D23" s="75" t="s">
        <v>184</v>
      </c>
      <c r="E23" s="74">
        <v>2000</v>
      </c>
      <c r="F23" s="74">
        <v>1178</v>
      </c>
      <c r="G23" s="73" t="s">
        <v>183</v>
      </c>
      <c r="H23" s="74">
        <v>814</v>
      </c>
      <c r="I23" s="110" t="s">
        <v>182</v>
      </c>
      <c r="J23" s="78" t="s">
        <v>18</v>
      </c>
      <c r="K23" s="78" t="s">
        <v>18</v>
      </c>
      <c r="L23" s="82">
        <v>0</v>
      </c>
      <c r="M23" s="74">
        <v>8</v>
      </c>
      <c r="N23"/>
      <c r="O23"/>
    </row>
    <row r="24" spans="1:15" x14ac:dyDescent="0.3">
      <c r="A24" s="72"/>
      <c r="B24" s="92">
        <v>2023</v>
      </c>
      <c r="C24" s="87" t="s">
        <v>1</v>
      </c>
      <c r="D24" s="86" t="s">
        <v>181</v>
      </c>
      <c r="E24" s="85">
        <v>1552</v>
      </c>
      <c r="F24" s="82">
        <v>1541</v>
      </c>
      <c r="G24" s="81" t="s">
        <v>180</v>
      </c>
      <c r="H24" s="82">
        <v>0</v>
      </c>
      <c r="I24" s="108">
        <v>0</v>
      </c>
      <c r="J24" s="82" t="s">
        <v>18</v>
      </c>
      <c r="K24" s="83" t="s">
        <v>18</v>
      </c>
      <c r="L24" s="82">
        <v>0</v>
      </c>
      <c r="M24" s="82">
        <v>11</v>
      </c>
    </row>
    <row r="25" spans="1:15" x14ac:dyDescent="0.3">
      <c r="A25" s="72"/>
      <c r="B25" s="92">
        <v>2023</v>
      </c>
      <c r="C25" s="87" t="s">
        <v>1</v>
      </c>
      <c r="D25" s="86" t="s">
        <v>179</v>
      </c>
      <c r="E25" s="85">
        <v>2000</v>
      </c>
      <c r="F25" s="82">
        <v>1983</v>
      </c>
      <c r="G25" s="81" t="s">
        <v>178</v>
      </c>
      <c r="H25" s="82">
        <v>0</v>
      </c>
      <c r="I25" s="108">
        <v>0</v>
      </c>
      <c r="J25" s="82" t="s">
        <v>18</v>
      </c>
      <c r="K25" s="83" t="s">
        <v>18</v>
      </c>
      <c r="L25" s="82">
        <v>0</v>
      </c>
      <c r="M25" s="82">
        <v>17</v>
      </c>
    </row>
    <row r="26" spans="1:15" x14ac:dyDescent="0.3">
      <c r="A26" s="72"/>
      <c r="B26" s="92">
        <v>2023</v>
      </c>
      <c r="C26" s="87" t="s">
        <v>1</v>
      </c>
      <c r="D26" s="86" t="s">
        <v>177</v>
      </c>
      <c r="E26" s="85">
        <v>1440</v>
      </c>
      <c r="F26" s="82">
        <v>730</v>
      </c>
      <c r="G26" s="81"/>
      <c r="H26" s="82">
        <v>0</v>
      </c>
      <c r="I26" s="108">
        <v>0</v>
      </c>
      <c r="J26" s="82">
        <v>691</v>
      </c>
      <c r="K26" s="83">
        <v>0</v>
      </c>
      <c r="L26" s="82">
        <v>0</v>
      </c>
      <c r="M26" s="82">
        <v>5</v>
      </c>
    </row>
    <row r="27" spans="1:15" x14ac:dyDescent="0.3">
      <c r="A27" s="72"/>
      <c r="B27" s="92">
        <v>2023</v>
      </c>
      <c r="C27" s="87" t="s">
        <v>2</v>
      </c>
      <c r="D27" s="86" t="s">
        <v>176</v>
      </c>
      <c r="E27" s="85">
        <v>205</v>
      </c>
      <c r="F27" s="82">
        <v>0</v>
      </c>
      <c r="G27" s="81">
        <v>0</v>
      </c>
      <c r="H27" s="82">
        <v>205</v>
      </c>
      <c r="I27" s="108" t="s">
        <v>175</v>
      </c>
      <c r="J27" s="82" t="s">
        <v>18</v>
      </c>
      <c r="K27" s="83" t="s">
        <v>18</v>
      </c>
      <c r="L27" s="82">
        <v>0</v>
      </c>
      <c r="M27" s="82">
        <v>0</v>
      </c>
    </row>
    <row r="28" spans="1:15" x14ac:dyDescent="0.3">
      <c r="A28" s="72"/>
      <c r="B28" s="92">
        <v>2023</v>
      </c>
      <c r="C28" s="87" t="s">
        <v>3</v>
      </c>
      <c r="D28" s="86" t="s">
        <v>174</v>
      </c>
      <c r="E28" s="85">
        <v>1000</v>
      </c>
      <c r="F28" s="82">
        <v>828</v>
      </c>
      <c r="G28" s="81" t="s">
        <v>173</v>
      </c>
      <c r="H28" s="82"/>
      <c r="I28" s="108"/>
      <c r="J28" s="82" t="s">
        <v>18</v>
      </c>
      <c r="K28" s="83" t="s">
        <v>18</v>
      </c>
      <c r="L28" s="82">
        <v>0</v>
      </c>
      <c r="M28" s="82">
        <v>172</v>
      </c>
    </row>
    <row r="29" spans="1:15" x14ac:dyDescent="0.3">
      <c r="A29" s="72"/>
      <c r="B29" s="92">
        <v>2023</v>
      </c>
      <c r="C29" s="87" t="s">
        <v>3</v>
      </c>
      <c r="D29" s="86" t="s">
        <v>172</v>
      </c>
      <c r="E29" s="85">
        <v>1696</v>
      </c>
      <c r="F29" s="82">
        <v>0</v>
      </c>
      <c r="G29" s="81">
        <v>0</v>
      </c>
      <c r="H29" s="82">
        <v>1696</v>
      </c>
      <c r="I29" s="108" t="s">
        <v>171</v>
      </c>
      <c r="J29" s="82" t="s">
        <v>18</v>
      </c>
      <c r="K29" s="83" t="s">
        <v>18</v>
      </c>
      <c r="L29" s="82">
        <v>0</v>
      </c>
      <c r="M29" s="82" t="s">
        <v>18</v>
      </c>
    </row>
    <row r="30" spans="1:15" x14ac:dyDescent="0.3">
      <c r="A30" s="72"/>
      <c r="B30" s="92">
        <v>2024</v>
      </c>
      <c r="C30" s="87" t="s">
        <v>0</v>
      </c>
      <c r="D30" s="86" t="s">
        <v>170</v>
      </c>
      <c r="E30" s="85">
        <v>5752</v>
      </c>
      <c r="F30" s="82">
        <v>5711</v>
      </c>
      <c r="G30" s="81" t="s">
        <v>169</v>
      </c>
      <c r="H30" s="82">
        <v>0</v>
      </c>
      <c r="I30" s="108">
        <v>0</v>
      </c>
      <c r="J30" s="82">
        <v>0</v>
      </c>
      <c r="K30" s="83">
        <v>0</v>
      </c>
      <c r="L30" s="82">
        <v>0</v>
      </c>
      <c r="M30" s="82">
        <v>41</v>
      </c>
    </row>
    <row r="31" spans="1:15" x14ac:dyDescent="0.3">
      <c r="A31" s="72"/>
      <c r="B31" s="92">
        <v>2024</v>
      </c>
      <c r="C31" s="87" t="s">
        <v>0</v>
      </c>
      <c r="D31" s="86" t="s">
        <v>168</v>
      </c>
      <c r="E31" s="85">
        <v>700</v>
      </c>
      <c r="F31" s="82">
        <v>696</v>
      </c>
      <c r="G31" s="81" t="s">
        <v>168</v>
      </c>
      <c r="H31" s="82">
        <v>0</v>
      </c>
      <c r="I31" s="108">
        <v>0</v>
      </c>
      <c r="J31" s="82">
        <v>0</v>
      </c>
      <c r="K31" s="83">
        <v>0</v>
      </c>
      <c r="L31" s="82">
        <v>0</v>
      </c>
      <c r="M31" s="82">
        <v>4</v>
      </c>
    </row>
    <row r="32" spans="1:15" x14ac:dyDescent="0.3">
      <c r="A32" s="72"/>
      <c r="B32" s="92">
        <v>2024</v>
      </c>
      <c r="C32" s="87" t="s">
        <v>1</v>
      </c>
      <c r="D32" s="86" t="s">
        <v>167</v>
      </c>
      <c r="E32" s="85">
        <v>4505</v>
      </c>
      <c r="F32" s="82">
        <v>4473</v>
      </c>
      <c r="G32" s="81" t="s">
        <v>166</v>
      </c>
      <c r="H32" s="82">
        <v>0</v>
      </c>
      <c r="I32" s="108">
        <v>0</v>
      </c>
      <c r="J32" s="82">
        <v>0</v>
      </c>
      <c r="K32" s="83">
        <v>0</v>
      </c>
      <c r="L32" s="82">
        <v>0</v>
      </c>
      <c r="M32" s="82">
        <v>32</v>
      </c>
    </row>
    <row r="33" spans="1:13" x14ac:dyDescent="0.3">
      <c r="A33" s="72"/>
      <c r="B33" s="76">
        <v>2025</v>
      </c>
      <c r="C33" s="76" t="s">
        <v>0</v>
      </c>
      <c r="D33" s="75" t="s">
        <v>244</v>
      </c>
      <c r="E33" s="74">
        <v>500</v>
      </c>
      <c r="F33" s="74">
        <v>205</v>
      </c>
      <c r="G33" s="109" t="s">
        <v>245</v>
      </c>
      <c r="H33" s="74">
        <v>281</v>
      </c>
      <c r="I33" s="73" t="s">
        <v>246</v>
      </c>
      <c r="J33" s="74">
        <v>0</v>
      </c>
      <c r="K33" s="74">
        <v>0</v>
      </c>
      <c r="L33" s="82">
        <v>0</v>
      </c>
      <c r="M33" s="74">
        <v>14</v>
      </c>
    </row>
    <row r="34" spans="1:13" x14ac:dyDescent="0.3">
      <c r="A34" s="72"/>
      <c r="B34" s="76">
        <v>2025</v>
      </c>
      <c r="C34" s="76" t="s">
        <v>1</v>
      </c>
      <c r="D34" s="75" t="s">
        <v>247</v>
      </c>
      <c r="E34" s="74">
        <v>7077</v>
      </c>
      <c r="F34" s="74">
        <v>1780</v>
      </c>
      <c r="G34" s="109" t="s">
        <v>232</v>
      </c>
      <c r="H34" s="74">
        <v>245</v>
      </c>
      <c r="I34" s="73" t="s">
        <v>233</v>
      </c>
      <c r="J34" s="74">
        <v>4946</v>
      </c>
      <c r="K34" s="74" t="s">
        <v>234</v>
      </c>
      <c r="L34" s="74" t="s">
        <v>235</v>
      </c>
      <c r="M34" s="74">
        <v>106</v>
      </c>
    </row>
    <row r="35" spans="1:13" x14ac:dyDescent="0.3">
      <c r="A35" s="72"/>
      <c r="B35" s="76">
        <v>2025</v>
      </c>
      <c r="C35" s="76" t="s">
        <v>3</v>
      </c>
      <c r="D35" s="75" t="s">
        <v>243</v>
      </c>
      <c r="E35" s="74">
        <v>2000</v>
      </c>
      <c r="F35" s="74">
        <v>351</v>
      </c>
      <c r="G35" s="109" t="s">
        <v>241</v>
      </c>
      <c r="H35" s="74">
        <v>309</v>
      </c>
      <c r="I35" s="73" t="s">
        <v>240</v>
      </c>
      <c r="J35" s="74">
        <v>1207</v>
      </c>
      <c r="K35" s="74" t="s">
        <v>242</v>
      </c>
      <c r="L35" s="74" t="s">
        <v>68</v>
      </c>
      <c r="M35" s="74">
        <v>133</v>
      </c>
    </row>
    <row r="36" spans="1:13" x14ac:dyDescent="0.3">
      <c r="A36" s="72"/>
      <c r="B36" s="76">
        <v>2026</v>
      </c>
      <c r="C36" s="76" t="s">
        <v>0</v>
      </c>
      <c r="D36" s="75" t="s">
        <v>236</v>
      </c>
      <c r="E36" s="74">
        <v>1000</v>
      </c>
      <c r="F36" s="74">
        <v>75</v>
      </c>
      <c r="G36" s="109" t="s">
        <v>239</v>
      </c>
      <c r="H36" s="74">
        <v>0</v>
      </c>
      <c r="I36" s="73">
        <v>0</v>
      </c>
      <c r="J36" s="74">
        <v>0</v>
      </c>
      <c r="K36" s="74">
        <v>0</v>
      </c>
      <c r="L36" s="74">
        <v>0</v>
      </c>
      <c r="M36" s="74">
        <v>0</v>
      </c>
    </row>
    <row r="37" spans="1:13" x14ac:dyDescent="0.3">
      <c r="A37" s="72"/>
      <c r="B37" s="76">
        <v>2026</v>
      </c>
      <c r="C37" s="76" t="s">
        <v>1</v>
      </c>
      <c r="D37" s="75" t="s">
        <v>237</v>
      </c>
      <c r="E37" s="74">
        <v>5000</v>
      </c>
      <c r="F37" s="74">
        <v>430</v>
      </c>
      <c r="G37" s="109" t="s">
        <v>238</v>
      </c>
      <c r="H37" s="74">
        <v>0</v>
      </c>
      <c r="I37" s="73">
        <v>0</v>
      </c>
      <c r="J37" s="74">
        <v>0</v>
      </c>
      <c r="K37" s="74">
        <v>0</v>
      </c>
      <c r="L37" s="74">
        <v>0</v>
      </c>
      <c r="M37" s="74">
        <v>3</v>
      </c>
    </row>
    <row r="41" spans="1:13" x14ac:dyDescent="0.3">
      <c r="F41" s="71"/>
    </row>
  </sheetData>
  <mergeCells count="7">
    <mergeCell ref="J4:L4"/>
    <mergeCell ref="B1:E1"/>
    <mergeCell ref="B4:B5"/>
    <mergeCell ref="C4:E4"/>
    <mergeCell ref="F4:G4"/>
    <mergeCell ref="H4:I4"/>
    <mergeCell ref="C2:M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25"/>
  <sheetViews>
    <sheetView workbookViewId="0">
      <selection activeCell="E25" sqref="E25"/>
    </sheetView>
  </sheetViews>
  <sheetFormatPr defaultRowHeight="16.5" x14ac:dyDescent="0.3"/>
  <cols>
    <col min="1" max="1" width="2" customWidth="1"/>
    <col min="3" max="3" width="6.75" customWidth="1"/>
    <col min="5" max="5" width="11.75" bestFit="1" customWidth="1"/>
    <col min="6" max="6" width="44.125" customWidth="1"/>
    <col min="8" max="8" width="15.125" bestFit="1" customWidth="1"/>
    <col min="9" max="9" width="9.375" bestFit="1" customWidth="1"/>
    <col min="10" max="10" width="12.625" bestFit="1" customWidth="1"/>
    <col min="11" max="11" width="9.375" bestFit="1" customWidth="1"/>
    <col min="12" max="12" width="12.625" bestFit="1" customWidth="1"/>
  </cols>
  <sheetData>
    <row r="2" spans="2:18" x14ac:dyDescent="0.3">
      <c r="B2" s="122" t="s">
        <v>9</v>
      </c>
      <c r="C2" s="136" t="s">
        <v>77</v>
      </c>
      <c r="D2" s="135" t="s">
        <v>78</v>
      </c>
      <c r="E2" s="135"/>
      <c r="F2" s="135"/>
      <c r="G2" s="135"/>
      <c r="H2" s="138"/>
      <c r="I2" s="139" t="s">
        <v>70</v>
      </c>
      <c r="J2" s="113" t="s">
        <v>39</v>
      </c>
      <c r="K2" s="113"/>
      <c r="L2" s="113" t="s">
        <v>40</v>
      </c>
      <c r="M2" s="113"/>
      <c r="N2" s="113" t="s">
        <v>71</v>
      </c>
      <c r="O2" s="113"/>
      <c r="P2" s="113"/>
      <c r="Q2" s="113" t="s">
        <v>72</v>
      </c>
      <c r="R2" s="113"/>
    </row>
    <row r="3" spans="2:18" x14ac:dyDescent="0.3">
      <c r="B3" s="122"/>
      <c r="C3" s="137"/>
      <c r="D3" s="10" t="s">
        <v>5</v>
      </c>
      <c r="E3" s="10" t="s">
        <v>41</v>
      </c>
      <c r="F3" s="10" t="s">
        <v>73</v>
      </c>
      <c r="G3" s="10" t="s">
        <v>74</v>
      </c>
      <c r="H3" s="10" t="s">
        <v>75</v>
      </c>
      <c r="I3" s="139"/>
      <c r="J3" s="11" t="s">
        <v>41</v>
      </c>
      <c r="K3" s="11" t="s">
        <v>42</v>
      </c>
      <c r="L3" s="11" t="s">
        <v>41</v>
      </c>
      <c r="M3" s="11" t="s">
        <v>42</v>
      </c>
      <c r="N3" s="11" t="s">
        <v>41</v>
      </c>
      <c r="O3" s="11" t="s">
        <v>5</v>
      </c>
      <c r="P3" s="11" t="s">
        <v>76</v>
      </c>
      <c r="Q3" s="11" t="s">
        <v>41</v>
      </c>
      <c r="R3" s="11" t="s">
        <v>76</v>
      </c>
    </row>
    <row r="4" spans="2:18" x14ac:dyDescent="0.3">
      <c r="B4" s="9">
        <v>2017</v>
      </c>
      <c r="C4" s="9"/>
      <c r="D4" s="9"/>
      <c r="E4" s="12"/>
      <c r="F4" s="12"/>
      <c r="G4" s="3"/>
      <c r="H4" s="5"/>
      <c r="I4" s="5"/>
      <c r="J4" s="14"/>
      <c r="K4" s="14"/>
      <c r="L4" s="14"/>
      <c r="M4" s="14"/>
      <c r="N4" s="14"/>
      <c r="O4" s="14"/>
      <c r="P4" s="14"/>
      <c r="Q4" s="14"/>
      <c r="R4" s="14"/>
    </row>
    <row r="5" spans="2:18" x14ac:dyDescent="0.3">
      <c r="B5" s="9">
        <v>2018</v>
      </c>
      <c r="C5" s="9"/>
      <c r="D5" s="9"/>
      <c r="E5" s="12"/>
      <c r="F5" s="12"/>
      <c r="G5" s="3"/>
      <c r="H5" s="5"/>
      <c r="I5" s="5"/>
      <c r="J5" s="14"/>
      <c r="K5" s="14"/>
      <c r="L5" s="14"/>
      <c r="M5" s="14"/>
      <c r="N5" s="14"/>
      <c r="O5" s="14"/>
      <c r="P5" s="14"/>
      <c r="Q5" s="14"/>
      <c r="R5" s="14"/>
    </row>
    <row r="6" spans="2:18" x14ac:dyDescent="0.3">
      <c r="B6" s="9">
        <v>2019</v>
      </c>
      <c r="C6" s="9"/>
      <c r="D6" s="9"/>
      <c r="E6" s="12"/>
      <c r="F6" s="12"/>
      <c r="G6" s="3"/>
      <c r="H6" s="5"/>
      <c r="I6" s="5"/>
      <c r="J6" s="14"/>
      <c r="K6" s="14"/>
      <c r="L6" s="14"/>
      <c r="M6" s="14"/>
      <c r="N6" s="14"/>
      <c r="O6" s="14"/>
      <c r="P6" s="14"/>
      <c r="Q6" s="14"/>
      <c r="R6" s="14"/>
    </row>
    <row r="7" spans="2:18" x14ac:dyDescent="0.3">
      <c r="B7" s="9">
        <v>2020</v>
      </c>
      <c r="C7" s="9"/>
      <c r="D7" s="9"/>
      <c r="E7" s="12"/>
      <c r="F7" s="12"/>
      <c r="G7" s="3"/>
      <c r="H7" s="5"/>
      <c r="I7" s="5"/>
      <c r="J7" s="14"/>
      <c r="K7" s="14"/>
      <c r="L7" s="14"/>
      <c r="M7" s="14"/>
      <c r="N7" s="14"/>
      <c r="O7" s="14"/>
      <c r="P7" s="14"/>
      <c r="Q7" s="14"/>
      <c r="R7" s="14"/>
    </row>
    <row r="8" spans="2:18" x14ac:dyDescent="0.3">
      <c r="B8" s="9">
        <v>2021</v>
      </c>
      <c r="C8" s="9"/>
      <c r="D8" s="6"/>
      <c r="E8" s="12"/>
      <c r="F8" s="12"/>
      <c r="G8" s="3"/>
      <c r="H8" s="5"/>
      <c r="I8" s="5"/>
      <c r="J8" s="14"/>
      <c r="K8" s="14"/>
      <c r="L8" s="14"/>
      <c r="M8" s="14"/>
      <c r="N8" s="14"/>
      <c r="O8" s="14"/>
      <c r="P8" s="14"/>
      <c r="Q8" s="14"/>
      <c r="R8" s="14"/>
    </row>
    <row r="9" spans="2:18" x14ac:dyDescent="0.3">
      <c r="B9" s="9">
        <v>2022</v>
      </c>
      <c r="C9" s="9">
        <v>1</v>
      </c>
      <c r="D9" s="9"/>
      <c r="E9" s="12"/>
      <c r="F9" s="12"/>
      <c r="G9" s="3"/>
      <c r="H9" s="5"/>
      <c r="I9" s="5"/>
      <c r="J9" s="14"/>
      <c r="K9" s="14"/>
      <c r="L9" s="14"/>
      <c r="M9" s="14"/>
      <c r="N9" s="14"/>
      <c r="O9" s="14"/>
      <c r="P9" s="14"/>
      <c r="Q9" s="14"/>
      <c r="R9" s="14"/>
    </row>
    <row r="10" spans="2:18" x14ac:dyDescent="0.3">
      <c r="B10" s="9">
        <v>2022</v>
      </c>
      <c r="C10" s="9">
        <v>2</v>
      </c>
      <c r="D10" s="9"/>
      <c r="E10" s="12"/>
      <c r="F10" s="12"/>
      <c r="G10" s="3"/>
      <c r="H10" s="5"/>
      <c r="I10" s="5"/>
      <c r="J10" s="14"/>
      <c r="K10" s="14"/>
      <c r="L10" s="14"/>
      <c r="M10" s="14"/>
      <c r="N10" s="14"/>
      <c r="O10" s="14"/>
      <c r="P10" s="14"/>
      <c r="Q10" s="14"/>
      <c r="R10" s="14"/>
    </row>
    <row r="11" spans="2:18" x14ac:dyDescent="0.3">
      <c r="B11" s="9">
        <v>2022</v>
      </c>
      <c r="C11" s="9">
        <v>3</v>
      </c>
      <c r="D11" s="6"/>
      <c r="E11" s="12"/>
      <c r="F11" s="12"/>
      <c r="G11" s="3"/>
      <c r="H11" s="5"/>
      <c r="I11" s="5"/>
      <c r="J11" s="14"/>
      <c r="K11" s="14"/>
      <c r="L11" s="14"/>
      <c r="M11" s="14"/>
      <c r="N11" s="14"/>
      <c r="O11" s="14"/>
      <c r="P11" s="14"/>
      <c r="Q11" s="14"/>
      <c r="R11" s="14"/>
    </row>
    <row r="12" spans="2:18" x14ac:dyDescent="0.3">
      <c r="B12" s="9">
        <v>2022</v>
      </c>
      <c r="C12" s="17">
        <v>4</v>
      </c>
      <c r="D12" s="9"/>
      <c r="E12" s="12"/>
      <c r="F12" s="12"/>
      <c r="G12" s="3"/>
      <c r="H12" s="5"/>
      <c r="I12" s="5"/>
      <c r="J12" s="14"/>
      <c r="K12" s="14"/>
      <c r="L12" s="14"/>
      <c r="M12" s="14"/>
      <c r="N12" s="14"/>
      <c r="O12" s="14"/>
      <c r="P12" s="14"/>
      <c r="Q12" s="14"/>
      <c r="R12" s="14"/>
    </row>
    <row r="13" spans="2:18" x14ac:dyDescent="0.3">
      <c r="B13" s="9">
        <v>2022</v>
      </c>
      <c r="C13" s="13">
        <v>5</v>
      </c>
      <c r="D13" s="9"/>
      <c r="E13" s="12"/>
      <c r="F13" s="12"/>
      <c r="G13" s="3"/>
      <c r="H13" s="5"/>
      <c r="I13" s="5"/>
      <c r="J13" s="14"/>
      <c r="K13" s="14"/>
      <c r="L13" s="14"/>
      <c r="M13" s="14"/>
      <c r="N13" s="14"/>
      <c r="O13" s="14"/>
      <c r="P13" s="14"/>
      <c r="Q13" s="14"/>
      <c r="R13" s="14"/>
    </row>
    <row r="14" spans="2:18" x14ac:dyDescent="0.3">
      <c r="B14" s="9">
        <v>2022</v>
      </c>
      <c r="C14" s="13">
        <v>6</v>
      </c>
      <c r="D14" s="9"/>
      <c r="E14" s="12"/>
      <c r="F14" s="12"/>
      <c r="G14" s="3"/>
      <c r="H14" s="5"/>
      <c r="I14" s="5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3">
      <c r="B15" s="9">
        <v>2022</v>
      </c>
      <c r="C15" s="13">
        <v>7</v>
      </c>
      <c r="D15" s="9"/>
      <c r="E15" s="12"/>
      <c r="F15" s="12"/>
      <c r="G15" s="4"/>
      <c r="H15" s="5"/>
      <c r="I15" s="5"/>
      <c r="J15" s="14"/>
      <c r="K15" s="14"/>
      <c r="L15" s="14"/>
      <c r="M15" s="14"/>
      <c r="N15" s="14"/>
      <c r="O15" s="14"/>
      <c r="P15" s="14"/>
      <c r="Q15" s="14"/>
      <c r="R15" s="14"/>
    </row>
    <row r="16" spans="2:18" x14ac:dyDescent="0.3">
      <c r="B16" s="9">
        <v>2022</v>
      </c>
      <c r="C16" s="13">
        <v>8</v>
      </c>
      <c r="D16" s="9"/>
      <c r="E16" s="12"/>
      <c r="F16" s="12"/>
      <c r="G16" s="3"/>
      <c r="H16" s="5"/>
      <c r="I16" s="5"/>
      <c r="J16" s="14"/>
      <c r="K16" s="14"/>
      <c r="L16" s="14"/>
      <c r="M16" s="14"/>
      <c r="N16" s="14"/>
      <c r="O16" s="14"/>
      <c r="P16" s="14"/>
      <c r="Q16" s="14"/>
      <c r="R16" s="14"/>
    </row>
    <row r="17" spans="2:18" x14ac:dyDescent="0.3">
      <c r="B17" s="9">
        <v>2022</v>
      </c>
      <c r="C17" s="13">
        <v>9</v>
      </c>
      <c r="D17" s="9"/>
      <c r="E17" s="12"/>
      <c r="F17" s="12"/>
      <c r="G17" s="3"/>
      <c r="H17" s="5"/>
      <c r="I17" s="5"/>
      <c r="J17" s="14"/>
      <c r="K17" s="14"/>
      <c r="L17" s="14"/>
      <c r="M17" s="14"/>
      <c r="N17" s="14"/>
      <c r="O17" s="14"/>
      <c r="P17" s="14"/>
      <c r="Q17" s="14"/>
      <c r="R17" s="14"/>
    </row>
    <row r="18" spans="2:18" x14ac:dyDescent="0.3">
      <c r="B18" s="9">
        <v>2022</v>
      </c>
      <c r="C18" s="13">
        <v>10</v>
      </c>
      <c r="D18" s="9"/>
      <c r="E18" s="12"/>
      <c r="F18" s="12"/>
      <c r="G18" s="3"/>
      <c r="H18" s="5"/>
      <c r="I18" s="5"/>
      <c r="J18" s="14"/>
      <c r="K18" s="14"/>
      <c r="L18" s="14"/>
      <c r="M18" s="14"/>
      <c r="N18" s="14"/>
      <c r="O18" s="14"/>
      <c r="P18" s="14"/>
      <c r="Q18" s="14"/>
      <c r="R18" s="14"/>
    </row>
    <row r="19" spans="2:18" x14ac:dyDescent="0.3">
      <c r="B19" s="9">
        <v>2022</v>
      </c>
      <c r="C19" s="13">
        <v>11</v>
      </c>
      <c r="D19" s="9"/>
      <c r="E19" s="12"/>
      <c r="F19" s="12"/>
      <c r="G19" s="3"/>
      <c r="H19" s="5"/>
      <c r="I19" s="5"/>
      <c r="J19" s="14"/>
      <c r="K19" s="14"/>
      <c r="L19" s="14"/>
      <c r="M19" s="14"/>
      <c r="N19" s="14"/>
      <c r="O19" s="14"/>
      <c r="P19" s="14"/>
      <c r="Q19" s="14"/>
      <c r="R19" s="14"/>
    </row>
    <row r="20" spans="2:18" x14ac:dyDescent="0.3">
      <c r="B20" s="9">
        <v>2022</v>
      </c>
      <c r="C20" s="13">
        <v>12</v>
      </c>
      <c r="D20" s="6"/>
      <c r="E20" s="14"/>
      <c r="F20" s="14"/>
      <c r="G20" s="5"/>
      <c r="H20" s="5"/>
      <c r="I20" s="5"/>
      <c r="J20" s="14"/>
      <c r="K20" s="14"/>
      <c r="L20" s="14"/>
      <c r="M20" s="14"/>
      <c r="N20" s="14"/>
      <c r="O20" s="14"/>
      <c r="P20" s="14"/>
      <c r="Q20" s="14"/>
      <c r="R20" s="14"/>
    </row>
    <row r="21" spans="2:18" x14ac:dyDescent="0.3">
      <c r="B21" s="13">
        <v>2023</v>
      </c>
      <c r="C21" s="13"/>
      <c r="D21" s="9"/>
      <c r="E21" s="12"/>
      <c r="F21" s="12"/>
      <c r="G21" s="4"/>
      <c r="H21" s="5"/>
      <c r="I21" s="5"/>
      <c r="J21" s="14"/>
      <c r="K21" s="14"/>
      <c r="L21" s="14"/>
      <c r="M21" s="14"/>
      <c r="N21" s="14"/>
      <c r="O21" s="14"/>
      <c r="P21" s="14"/>
      <c r="Q21" s="14"/>
      <c r="R21" s="14"/>
    </row>
    <row r="22" spans="2:18" x14ac:dyDescent="0.3">
      <c r="B22" s="13"/>
      <c r="C22" s="13"/>
      <c r="D22" s="9"/>
      <c r="E22" s="12"/>
      <c r="F22" s="12"/>
      <c r="G22" s="3"/>
      <c r="H22" s="5"/>
      <c r="I22" s="5"/>
      <c r="J22" s="14"/>
      <c r="K22" s="14"/>
      <c r="L22" s="14"/>
      <c r="M22" s="14"/>
      <c r="N22" s="14"/>
      <c r="O22" s="14"/>
      <c r="P22" s="14"/>
      <c r="Q22" s="14"/>
      <c r="R22" s="14"/>
    </row>
    <row r="23" spans="2:18" x14ac:dyDescent="0.3">
      <c r="B23" s="13"/>
      <c r="C23" s="13"/>
      <c r="D23" s="9"/>
      <c r="E23" s="12"/>
      <c r="F23" s="12"/>
      <c r="G23" s="4"/>
      <c r="H23" s="5"/>
      <c r="I23" s="5"/>
      <c r="J23" s="14"/>
      <c r="K23" s="14"/>
      <c r="L23" s="14"/>
      <c r="M23" s="14"/>
      <c r="N23" s="14"/>
      <c r="O23" s="14"/>
      <c r="P23" s="14"/>
      <c r="Q23" s="14"/>
      <c r="R23" s="14"/>
    </row>
    <row r="24" spans="2:18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2:18" x14ac:dyDescent="0.3">
      <c r="B25" s="19"/>
      <c r="C25" s="19"/>
      <c r="E25" s="16">
        <f>SUBTOTAL(9,E4:E23)</f>
        <v>0</v>
      </c>
      <c r="J25" s="16">
        <f>SUBTOTAL(9,J4:J23)</f>
        <v>0</v>
      </c>
      <c r="L25" s="16">
        <f>SUBTOTAL(9,L4:L23)</f>
        <v>0</v>
      </c>
      <c r="N25" s="16">
        <f>SUBTOTAL(9,N4:N23)</f>
        <v>0</v>
      </c>
      <c r="Q25" s="16">
        <f>SUBTOTAL(9,Q4:Q23)</f>
        <v>0</v>
      </c>
    </row>
  </sheetData>
  <mergeCells count="8">
    <mergeCell ref="N2:P2"/>
    <mergeCell ref="Q2:R2"/>
    <mergeCell ref="B2:B3"/>
    <mergeCell ref="C2:C3"/>
    <mergeCell ref="D2:H2"/>
    <mergeCell ref="I2:I3"/>
    <mergeCell ref="J2:K2"/>
    <mergeCell ref="L2:M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25"/>
  <sheetViews>
    <sheetView workbookViewId="0">
      <selection activeCell="E25" sqref="E25"/>
    </sheetView>
  </sheetViews>
  <sheetFormatPr defaultRowHeight="16.5" x14ac:dyDescent="0.3"/>
  <cols>
    <col min="1" max="1" width="2.5" customWidth="1"/>
    <col min="3" max="3" width="7.25" customWidth="1"/>
    <col min="5" max="5" width="11.75" bestFit="1" customWidth="1"/>
    <col min="6" max="6" width="44.125" customWidth="1"/>
    <col min="8" max="8" width="15.125" bestFit="1" customWidth="1"/>
    <col min="9" max="9" width="9.375" bestFit="1" customWidth="1"/>
    <col min="10" max="10" width="12.625" bestFit="1" customWidth="1"/>
    <col min="11" max="11" width="9.375" bestFit="1" customWidth="1"/>
    <col min="12" max="12" width="12.625" bestFit="1" customWidth="1"/>
  </cols>
  <sheetData>
    <row r="2" spans="2:18" x14ac:dyDescent="0.3">
      <c r="B2" s="122" t="s">
        <v>9</v>
      </c>
      <c r="C2" s="136" t="s">
        <v>77</v>
      </c>
      <c r="D2" s="135" t="s">
        <v>78</v>
      </c>
      <c r="E2" s="135"/>
      <c r="F2" s="135"/>
      <c r="G2" s="135"/>
      <c r="H2" s="138"/>
      <c r="I2" s="139" t="s">
        <v>70</v>
      </c>
      <c r="J2" s="113" t="s">
        <v>39</v>
      </c>
      <c r="K2" s="113"/>
      <c r="L2" s="113" t="s">
        <v>40</v>
      </c>
      <c r="M2" s="113"/>
      <c r="N2" s="113" t="s">
        <v>71</v>
      </c>
      <c r="O2" s="113"/>
      <c r="P2" s="113"/>
      <c r="Q2" s="113" t="s">
        <v>72</v>
      </c>
      <c r="R2" s="113"/>
    </row>
    <row r="3" spans="2:18" x14ac:dyDescent="0.3">
      <c r="B3" s="122"/>
      <c r="C3" s="137"/>
      <c r="D3" s="10" t="s">
        <v>5</v>
      </c>
      <c r="E3" s="10" t="s">
        <v>41</v>
      </c>
      <c r="F3" s="10" t="s">
        <v>73</v>
      </c>
      <c r="G3" s="10" t="s">
        <v>74</v>
      </c>
      <c r="H3" s="10" t="s">
        <v>75</v>
      </c>
      <c r="I3" s="139"/>
      <c r="J3" s="11" t="s">
        <v>41</v>
      </c>
      <c r="K3" s="11" t="s">
        <v>42</v>
      </c>
      <c r="L3" s="11" t="s">
        <v>41</v>
      </c>
      <c r="M3" s="11" t="s">
        <v>42</v>
      </c>
      <c r="N3" s="11" t="s">
        <v>41</v>
      </c>
      <c r="O3" s="11" t="s">
        <v>5</v>
      </c>
      <c r="P3" s="11" t="s">
        <v>76</v>
      </c>
      <c r="Q3" s="11" t="s">
        <v>41</v>
      </c>
      <c r="R3" s="11" t="s">
        <v>76</v>
      </c>
    </row>
    <row r="4" spans="2:18" x14ac:dyDescent="0.3">
      <c r="B4" s="9">
        <v>2017</v>
      </c>
      <c r="C4" s="9"/>
      <c r="D4" s="9"/>
      <c r="E4" s="12"/>
      <c r="F4" s="12"/>
      <c r="G4" s="3"/>
      <c r="H4" s="5"/>
      <c r="I4" s="5"/>
      <c r="J4" s="14"/>
      <c r="K4" s="14"/>
      <c r="L4" s="14"/>
      <c r="M4" s="14"/>
      <c r="N4" s="14"/>
      <c r="O4" s="14"/>
      <c r="P4" s="14"/>
      <c r="Q4" s="14"/>
      <c r="R4" s="14"/>
    </row>
    <row r="5" spans="2:18" x14ac:dyDescent="0.3">
      <c r="B5" s="9">
        <v>2018</v>
      </c>
      <c r="C5" s="9"/>
      <c r="D5" s="9"/>
      <c r="E5" s="12"/>
      <c r="F5" s="12"/>
      <c r="G5" s="3"/>
      <c r="H5" s="5"/>
      <c r="I5" s="5"/>
      <c r="J5" s="14"/>
      <c r="K5" s="14"/>
      <c r="L5" s="14"/>
      <c r="M5" s="14"/>
      <c r="N5" s="14"/>
      <c r="O5" s="14"/>
      <c r="P5" s="14"/>
      <c r="Q5" s="14"/>
      <c r="R5" s="14"/>
    </row>
    <row r="6" spans="2:18" x14ac:dyDescent="0.3">
      <c r="B6" s="9">
        <v>2019</v>
      </c>
      <c r="C6" s="9"/>
      <c r="D6" s="9"/>
      <c r="E6" s="12"/>
      <c r="F6" s="12"/>
      <c r="G6" s="3"/>
      <c r="H6" s="5"/>
      <c r="I6" s="5"/>
      <c r="J6" s="14"/>
      <c r="K6" s="14"/>
      <c r="L6" s="14"/>
      <c r="M6" s="14"/>
      <c r="N6" s="14"/>
      <c r="O6" s="14"/>
      <c r="P6" s="14"/>
      <c r="Q6" s="14"/>
      <c r="R6" s="14"/>
    </row>
    <row r="7" spans="2:18" x14ac:dyDescent="0.3">
      <c r="B7" s="9">
        <v>2020</v>
      </c>
      <c r="C7" s="9"/>
      <c r="D7" s="9"/>
      <c r="E7" s="12"/>
      <c r="F7" s="12"/>
      <c r="G7" s="3"/>
      <c r="H7" s="5"/>
      <c r="I7" s="5"/>
      <c r="J7" s="14"/>
      <c r="K7" s="14"/>
      <c r="L7" s="14"/>
      <c r="M7" s="14"/>
      <c r="N7" s="14"/>
      <c r="O7" s="14"/>
      <c r="P7" s="14"/>
      <c r="Q7" s="14"/>
      <c r="R7" s="14"/>
    </row>
    <row r="8" spans="2:18" x14ac:dyDescent="0.3">
      <c r="B8" s="9">
        <v>2021</v>
      </c>
      <c r="C8" s="9"/>
      <c r="D8" s="6"/>
      <c r="E8" s="12"/>
      <c r="F8" s="12"/>
      <c r="G8" s="3"/>
      <c r="H8" s="5"/>
      <c r="I8" s="5"/>
      <c r="J8" s="14"/>
      <c r="K8" s="14"/>
      <c r="L8" s="14"/>
      <c r="M8" s="14"/>
      <c r="N8" s="14"/>
      <c r="O8" s="14"/>
      <c r="P8" s="14"/>
      <c r="Q8" s="14"/>
      <c r="R8" s="14"/>
    </row>
    <row r="9" spans="2:18" x14ac:dyDescent="0.3">
      <c r="B9" s="9">
        <v>2022</v>
      </c>
      <c r="C9" s="9">
        <v>1</v>
      </c>
      <c r="D9" s="9"/>
      <c r="E9" s="12"/>
      <c r="F9" s="12"/>
      <c r="G9" s="3"/>
      <c r="H9" s="5"/>
      <c r="I9" s="5"/>
      <c r="J9" s="14"/>
      <c r="K9" s="14"/>
      <c r="L9" s="14"/>
      <c r="M9" s="14"/>
      <c r="N9" s="14"/>
      <c r="O9" s="14"/>
      <c r="P9" s="14"/>
      <c r="Q9" s="14"/>
      <c r="R9" s="14"/>
    </row>
    <row r="10" spans="2:18" x14ac:dyDescent="0.3">
      <c r="B10" s="9">
        <v>2022</v>
      </c>
      <c r="C10" s="9">
        <v>2</v>
      </c>
      <c r="D10" s="9"/>
      <c r="E10" s="12"/>
      <c r="F10" s="12"/>
      <c r="G10" s="3"/>
      <c r="H10" s="5"/>
      <c r="I10" s="5"/>
      <c r="J10" s="14"/>
      <c r="K10" s="14"/>
      <c r="L10" s="14"/>
      <c r="M10" s="14"/>
      <c r="N10" s="14"/>
      <c r="O10" s="14"/>
      <c r="P10" s="14"/>
      <c r="Q10" s="14"/>
      <c r="R10" s="14"/>
    </row>
    <row r="11" spans="2:18" x14ac:dyDescent="0.3">
      <c r="B11" s="9">
        <v>2022</v>
      </c>
      <c r="C11" s="9">
        <v>3</v>
      </c>
      <c r="D11" s="6"/>
      <c r="E11" s="12"/>
      <c r="F11" s="12"/>
      <c r="G11" s="3"/>
      <c r="H11" s="5"/>
      <c r="I11" s="5"/>
      <c r="J11" s="14"/>
      <c r="K11" s="14"/>
      <c r="L11" s="14"/>
      <c r="M11" s="14"/>
      <c r="N11" s="14"/>
      <c r="O11" s="14"/>
      <c r="P11" s="14"/>
      <c r="Q11" s="14"/>
      <c r="R11" s="14"/>
    </row>
    <row r="12" spans="2:18" x14ac:dyDescent="0.3">
      <c r="B12" s="9">
        <v>2022</v>
      </c>
      <c r="C12" s="17">
        <v>4</v>
      </c>
      <c r="D12" s="9"/>
      <c r="E12" s="12"/>
      <c r="F12" s="12"/>
      <c r="G12" s="3"/>
      <c r="H12" s="5"/>
      <c r="I12" s="5"/>
      <c r="J12" s="14"/>
      <c r="K12" s="14"/>
      <c r="L12" s="14"/>
      <c r="M12" s="14"/>
      <c r="N12" s="14"/>
      <c r="O12" s="14"/>
      <c r="P12" s="14"/>
      <c r="Q12" s="14"/>
      <c r="R12" s="14"/>
    </row>
    <row r="13" spans="2:18" x14ac:dyDescent="0.3">
      <c r="B13" s="9">
        <v>2022</v>
      </c>
      <c r="C13" s="13">
        <v>5</v>
      </c>
      <c r="D13" s="9"/>
      <c r="E13" s="12"/>
      <c r="F13" s="12"/>
      <c r="G13" s="3"/>
      <c r="H13" s="5"/>
      <c r="I13" s="5"/>
      <c r="J13" s="14"/>
      <c r="K13" s="14"/>
      <c r="L13" s="14"/>
      <c r="M13" s="14"/>
      <c r="N13" s="14"/>
      <c r="O13" s="14"/>
      <c r="P13" s="14"/>
      <c r="Q13" s="14"/>
      <c r="R13" s="14"/>
    </row>
    <row r="14" spans="2:18" x14ac:dyDescent="0.3">
      <c r="B14" s="9">
        <v>2022</v>
      </c>
      <c r="C14" s="13">
        <v>6</v>
      </c>
      <c r="D14" s="9"/>
      <c r="E14" s="12"/>
      <c r="F14" s="12"/>
      <c r="G14" s="3"/>
      <c r="H14" s="5"/>
      <c r="I14" s="5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3">
      <c r="B15" s="9">
        <v>2022</v>
      </c>
      <c r="C15" s="13">
        <v>7</v>
      </c>
      <c r="D15" s="9"/>
      <c r="E15" s="12"/>
      <c r="F15" s="12"/>
      <c r="G15" s="4"/>
      <c r="H15" s="5"/>
      <c r="I15" s="5"/>
      <c r="J15" s="14"/>
      <c r="K15" s="14"/>
      <c r="L15" s="14"/>
      <c r="M15" s="14"/>
      <c r="N15" s="14"/>
      <c r="O15" s="14"/>
      <c r="P15" s="14"/>
      <c r="Q15" s="14"/>
      <c r="R15" s="14"/>
    </row>
    <row r="16" spans="2:18" x14ac:dyDescent="0.3">
      <c r="B16" s="9">
        <v>2022</v>
      </c>
      <c r="C16" s="13">
        <v>8</v>
      </c>
      <c r="D16" s="9"/>
      <c r="E16" s="12"/>
      <c r="F16" s="12"/>
      <c r="G16" s="3"/>
      <c r="H16" s="5"/>
      <c r="I16" s="5"/>
      <c r="J16" s="14"/>
      <c r="K16" s="14"/>
      <c r="L16" s="14"/>
      <c r="M16" s="14"/>
      <c r="N16" s="14"/>
      <c r="O16" s="14"/>
      <c r="P16" s="14"/>
      <c r="Q16" s="14"/>
      <c r="R16" s="14"/>
    </row>
    <row r="17" spans="2:18" x14ac:dyDescent="0.3">
      <c r="B17" s="9">
        <v>2022</v>
      </c>
      <c r="C17" s="13">
        <v>9</v>
      </c>
      <c r="D17" s="9"/>
      <c r="E17" s="12"/>
      <c r="F17" s="12"/>
      <c r="G17" s="3"/>
      <c r="H17" s="5"/>
      <c r="I17" s="5"/>
      <c r="J17" s="14"/>
      <c r="K17" s="14"/>
      <c r="L17" s="14"/>
      <c r="M17" s="14"/>
      <c r="N17" s="14"/>
      <c r="O17" s="14"/>
      <c r="P17" s="14"/>
      <c r="Q17" s="14"/>
      <c r="R17" s="14"/>
    </row>
    <row r="18" spans="2:18" x14ac:dyDescent="0.3">
      <c r="B18" s="9">
        <v>2022</v>
      </c>
      <c r="C18" s="13">
        <v>10</v>
      </c>
      <c r="D18" s="9"/>
      <c r="E18" s="12"/>
      <c r="F18" s="12"/>
      <c r="G18" s="3"/>
      <c r="H18" s="5"/>
      <c r="I18" s="5"/>
      <c r="J18" s="14"/>
      <c r="K18" s="14"/>
      <c r="L18" s="14"/>
      <c r="M18" s="14"/>
      <c r="N18" s="14"/>
      <c r="O18" s="14"/>
      <c r="P18" s="14"/>
      <c r="Q18" s="14"/>
      <c r="R18" s="14"/>
    </row>
    <row r="19" spans="2:18" x14ac:dyDescent="0.3">
      <c r="B19" s="9">
        <v>2022</v>
      </c>
      <c r="C19" s="13">
        <v>11</v>
      </c>
      <c r="D19" s="9"/>
      <c r="E19" s="12"/>
      <c r="F19" s="12"/>
      <c r="G19" s="3"/>
      <c r="H19" s="5"/>
      <c r="I19" s="5"/>
      <c r="J19" s="14"/>
      <c r="K19" s="14"/>
      <c r="L19" s="14"/>
      <c r="M19" s="14"/>
      <c r="N19" s="14"/>
      <c r="O19" s="14"/>
      <c r="P19" s="14"/>
      <c r="Q19" s="14"/>
      <c r="R19" s="14"/>
    </row>
    <row r="20" spans="2:18" x14ac:dyDescent="0.3">
      <c r="B20" s="9">
        <v>2022</v>
      </c>
      <c r="C20" s="13">
        <v>12</v>
      </c>
      <c r="D20" s="6"/>
      <c r="E20" s="14"/>
      <c r="F20" s="14"/>
      <c r="G20" s="5"/>
      <c r="H20" s="5"/>
      <c r="I20" s="5"/>
      <c r="J20" s="14"/>
      <c r="K20" s="14"/>
      <c r="L20" s="14"/>
      <c r="M20" s="14"/>
      <c r="N20" s="14"/>
      <c r="O20" s="14"/>
      <c r="P20" s="14"/>
      <c r="Q20" s="14"/>
      <c r="R20" s="14"/>
    </row>
    <row r="21" spans="2:18" x14ac:dyDescent="0.3">
      <c r="B21" s="13">
        <v>2023</v>
      </c>
      <c r="C21" s="13"/>
      <c r="D21" s="9"/>
      <c r="E21" s="12"/>
      <c r="F21" s="12"/>
      <c r="G21" s="4"/>
      <c r="H21" s="5"/>
      <c r="I21" s="5"/>
      <c r="J21" s="14"/>
      <c r="K21" s="14"/>
      <c r="L21" s="14"/>
      <c r="M21" s="14"/>
      <c r="N21" s="14"/>
      <c r="O21" s="14"/>
      <c r="P21" s="14"/>
      <c r="Q21" s="14"/>
      <c r="R21" s="14"/>
    </row>
    <row r="22" spans="2:18" x14ac:dyDescent="0.3">
      <c r="B22" s="13"/>
      <c r="C22" s="13"/>
      <c r="D22" s="9"/>
      <c r="E22" s="12"/>
      <c r="F22" s="12"/>
      <c r="G22" s="3"/>
      <c r="H22" s="5"/>
      <c r="I22" s="5"/>
      <c r="J22" s="14"/>
      <c r="K22" s="14"/>
      <c r="L22" s="14"/>
      <c r="M22" s="14"/>
      <c r="N22" s="14"/>
      <c r="O22" s="14"/>
      <c r="P22" s="14"/>
      <c r="Q22" s="14"/>
      <c r="R22" s="14"/>
    </row>
    <row r="23" spans="2:18" x14ac:dyDescent="0.3">
      <c r="B23" s="13"/>
      <c r="C23" s="13"/>
      <c r="D23" s="9"/>
      <c r="E23" s="12"/>
      <c r="F23" s="12"/>
      <c r="G23" s="4"/>
      <c r="H23" s="5"/>
      <c r="I23" s="5"/>
      <c r="J23" s="14"/>
      <c r="K23" s="14"/>
      <c r="L23" s="14"/>
      <c r="M23" s="14"/>
      <c r="N23" s="14"/>
      <c r="O23" s="14"/>
      <c r="P23" s="14"/>
      <c r="Q23" s="14"/>
      <c r="R23" s="14"/>
    </row>
    <row r="24" spans="2:18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2:18" x14ac:dyDescent="0.3">
      <c r="B25" s="19"/>
      <c r="C25" s="19"/>
      <c r="E25" s="16">
        <f>SUBTOTAL(9,E4:E23)</f>
        <v>0</v>
      </c>
      <c r="J25" s="16">
        <f>SUBTOTAL(9,J4:J23)</f>
        <v>0</v>
      </c>
      <c r="L25" s="16">
        <f>SUBTOTAL(9,L4:L23)</f>
        <v>0</v>
      </c>
      <c r="N25" s="16">
        <f>SUBTOTAL(9,N4:N23)</f>
        <v>0</v>
      </c>
      <c r="Q25" s="16">
        <f>SUBTOTAL(9,Q4:Q23)</f>
        <v>0</v>
      </c>
    </row>
  </sheetData>
  <mergeCells count="8">
    <mergeCell ref="Q2:R2"/>
    <mergeCell ref="B2:B3"/>
    <mergeCell ref="C2:C3"/>
    <mergeCell ref="D2:H2"/>
    <mergeCell ref="J2:K2"/>
    <mergeCell ref="I2:I3"/>
    <mergeCell ref="L2:M2"/>
    <mergeCell ref="N2:P2"/>
  </mergeCells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25"/>
  <sheetViews>
    <sheetView workbookViewId="0">
      <selection activeCell="E25" sqref="E25"/>
    </sheetView>
  </sheetViews>
  <sheetFormatPr defaultRowHeight="16.5" x14ac:dyDescent="0.3"/>
  <cols>
    <col min="1" max="1" width="1.375" customWidth="1"/>
    <col min="4" max="6" width="13.25" customWidth="1"/>
    <col min="7" max="7" width="18.375" customWidth="1"/>
    <col min="10" max="18" width="11.75" customWidth="1"/>
  </cols>
  <sheetData>
    <row r="2" spans="2:18" x14ac:dyDescent="0.3">
      <c r="B2" s="122" t="s">
        <v>9</v>
      </c>
      <c r="C2" s="136" t="s">
        <v>77</v>
      </c>
      <c r="D2" s="135" t="s">
        <v>78</v>
      </c>
      <c r="E2" s="135"/>
      <c r="F2" s="135"/>
      <c r="G2" s="135"/>
      <c r="H2" s="138"/>
      <c r="I2" s="139" t="s">
        <v>70</v>
      </c>
      <c r="J2" s="113" t="s">
        <v>39</v>
      </c>
      <c r="K2" s="113"/>
      <c r="L2" s="113" t="s">
        <v>40</v>
      </c>
      <c r="M2" s="113"/>
      <c r="N2" s="113" t="s">
        <v>71</v>
      </c>
      <c r="O2" s="113"/>
      <c r="P2" s="113"/>
      <c r="Q2" s="113" t="s">
        <v>72</v>
      </c>
      <c r="R2" s="113"/>
    </row>
    <row r="3" spans="2:18" x14ac:dyDescent="0.3">
      <c r="B3" s="122"/>
      <c r="C3" s="137"/>
      <c r="D3" s="10" t="s">
        <v>5</v>
      </c>
      <c r="E3" s="10" t="s">
        <v>41</v>
      </c>
      <c r="F3" s="10" t="s">
        <v>73</v>
      </c>
      <c r="G3" s="10" t="s">
        <v>74</v>
      </c>
      <c r="H3" s="10" t="s">
        <v>75</v>
      </c>
      <c r="I3" s="139"/>
      <c r="J3" s="11" t="s">
        <v>41</v>
      </c>
      <c r="K3" s="11" t="s">
        <v>42</v>
      </c>
      <c r="L3" s="11" t="s">
        <v>41</v>
      </c>
      <c r="M3" s="11" t="s">
        <v>42</v>
      </c>
      <c r="N3" s="11" t="s">
        <v>41</v>
      </c>
      <c r="O3" s="11" t="s">
        <v>5</v>
      </c>
      <c r="P3" s="11" t="s">
        <v>76</v>
      </c>
      <c r="Q3" s="11" t="s">
        <v>41</v>
      </c>
      <c r="R3" s="11" t="s">
        <v>76</v>
      </c>
    </row>
    <row r="4" spans="2:18" x14ac:dyDescent="0.3">
      <c r="B4" s="9">
        <v>2017</v>
      </c>
      <c r="C4" s="9"/>
      <c r="D4" s="9"/>
      <c r="E4" s="12"/>
      <c r="F4" s="12"/>
      <c r="G4" s="3"/>
      <c r="H4" s="5"/>
      <c r="I4" s="5"/>
      <c r="J4" s="14"/>
      <c r="K4" s="14"/>
      <c r="L4" s="14"/>
      <c r="M4" s="14"/>
      <c r="N4" s="14"/>
      <c r="O4" s="14"/>
      <c r="P4" s="14"/>
      <c r="Q4" s="14"/>
      <c r="R4" s="14"/>
    </row>
    <row r="5" spans="2:18" x14ac:dyDescent="0.3">
      <c r="B5" s="9">
        <v>2018</v>
      </c>
      <c r="C5" s="9"/>
      <c r="D5" s="9"/>
      <c r="E5" s="12"/>
      <c r="F5" s="12"/>
      <c r="G5" s="3"/>
      <c r="H5" s="5"/>
      <c r="I5" s="5"/>
      <c r="J5" s="14"/>
      <c r="K5" s="14"/>
      <c r="L5" s="14"/>
      <c r="M5" s="14"/>
      <c r="N5" s="14"/>
      <c r="O5" s="14"/>
      <c r="P5" s="14"/>
      <c r="Q5" s="14"/>
      <c r="R5" s="14"/>
    </row>
    <row r="6" spans="2:18" x14ac:dyDescent="0.3">
      <c r="B6" s="9">
        <v>2019</v>
      </c>
      <c r="C6" s="9"/>
      <c r="D6" s="9"/>
      <c r="E6" s="12"/>
      <c r="F6" s="12"/>
      <c r="G6" s="3"/>
      <c r="H6" s="5"/>
      <c r="I6" s="5"/>
      <c r="J6" s="14"/>
      <c r="K6" s="14"/>
      <c r="L6" s="14"/>
      <c r="M6" s="14"/>
      <c r="N6" s="14"/>
      <c r="O6" s="14"/>
      <c r="P6" s="14"/>
      <c r="Q6" s="14"/>
      <c r="R6" s="14"/>
    </row>
    <row r="7" spans="2:18" x14ac:dyDescent="0.3">
      <c r="B7" s="9">
        <v>2020</v>
      </c>
      <c r="C7" s="9"/>
      <c r="D7" s="9"/>
      <c r="E7" s="12"/>
      <c r="F7" s="12"/>
      <c r="G7" s="3"/>
      <c r="H7" s="5"/>
      <c r="I7" s="5"/>
      <c r="J7" s="14"/>
      <c r="K7" s="14"/>
      <c r="L7" s="14"/>
      <c r="M7" s="14"/>
      <c r="N7" s="14"/>
      <c r="O7" s="14"/>
      <c r="P7" s="14"/>
      <c r="Q7" s="14"/>
      <c r="R7" s="14"/>
    </row>
    <row r="8" spans="2:18" x14ac:dyDescent="0.3">
      <c r="B8" s="9">
        <v>2021</v>
      </c>
      <c r="C8" s="9"/>
      <c r="D8" s="6"/>
      <c r="E8" s="12"/>
      <c r="F8" s="12"/>
      <c r="G8" s="3"/>
      <c r="H8" s="5"/>
      <c r="I8" s="5"/>
      <c r="J8" s="14"/>
      <c r="K8" s="14"/>
      <c r="L8" s="14"/>
      <c r="M8" s="14"/>
      <c r="N8" s="14"/>
      <c r="O8" s="14"/>
      <c r="P8" s="14"/>
      <c r="Q8" s="14"/>
      <c r="R8" s="14"/>
    </row>
    <row r="9" spans="2:18" x14ac:dyDescent="0.3">
      <c r="B9" s="9">
        <v>2022</v>
      </c>
      <c r="C9" s="9">
        <v>1</v>
      </c>
      <c r="D9" s="9"/>
      <c r="E9" s="12"/>
      <c r="F9" s="12"/>
      <c r="G9" s="3"/>
      <c r="H9" s="5"/>
      <c r="I9" s="5"/>
      <c r="J9" s="14"/>
      <c r="K9" s="14"/>
      <c r="L9" s="14"/>
      <c r="M9" s="14"/>
      <c r="N9" s="14"/>
      <c r="O9" s="14"/>
      <c r="P9" s="14"/>
      <c r="Q9" s="14"/>
      <c r="R9" s="14"/>
    </row>
    <row r="10" spans="2:18" x14ac:dyDescent="0.3">
      <c r="B10" s="9">
        <v>2022</v>
      </c>
      <c r="C10" s="9">
        <v>2</v>
      </c>
      <c r="D10" s="9"/>
      <c r="E10" s="12"/>
      <c r="F10" s="12"/>
      <c r="G10" s="3"/>
      <c r="H10" s="5"/>
      <c r="I10" s="5"/>
      <c r="J10" s="14"/>
      <c r="K10" s="14"/>
      <c r="L10" s="14"/>
      <c r="M10" s="14"/>
      <c r="N10" s="14"/>
      <c r="O10" s="14"/>
      <c r="P10" s="14"/>
      <c r="Q10" s="14"/>
      <c r="R10" s="14"/>
    </row>
    <row r="11" spans="2:18" x14ac:dyDescent="0.3">
      <c r="B11" s="9">
        <v>2022</v>
      </c>
      <c r="C11" s="9">
        <v>3</v>
      </c>
      <c r="D11" s="6"/>
      <c r="E11" s="12"/>
      <c r="F11" s="12"/>
      <c r="G11" s="3"/>
      <c r="H11" s="5"/>
      <c r="I11" s="5"/>
      <c r="J11" s="14"/>
      <c r="K11" s="14"/>
      <c r="L11" s="14"/>
      <c r="M11" s="14"/>
      <c r="N11" s="14"/>
      <c r="O11" s="14"/>
      <c r="P11" s="14"/>
      <c r="Q11" s="14"/>
      <c r="R11" s="14"/>
    </row>
    <row r="12" spans="2:18" x14ac:dyDescent="0.3">
      <c r="B12" s="9">
        <v>2022</v>
      </c>
      <c r="C12" s="17">
        <v>4</v>
      </c>
      <c r="D12" s="9"/>
      <c r="E12" s="12"/>
      <c r="F12" s="12"/>
      <c r="G12" s="3"/>
      <c r="H12" s="5"/>
      <c r="I12" s="5"/>
      <c r="J12" s="14"/>
      <c r="K12" s="14"/>
      <c r="L12" s="14"/>
      <c r="M12" s="14"/>
      <c r="N12" s="14"/>
      <c r="O12" s="14"/>
      <c r="P12" s="14"/>
      <c r="Q12" s="14"/>
      <c r="R12" s="14"/>
    </row>
    <row r="13" spans="2:18" x14ac:dyDescent="0.3">
      <c r="B13" s="9">
        <v>2022</v>
      </c>
      <c r="C13" s="13">
        <v>5</v>
      </c>
      <c r="D13" s="9"/>
      <c r="E13" s="12"/>
      <c r="F13" s="12"/>
      <c r="G13" s="3"/>
      <c r="H13" s="5"/>
      <c r="I13" s="5"/>
      <c r="J13" s="14"/>
      <c r="K13" s="14"/>
      <c r="L13" s="14"/>
      <c r="M13" s="14"/>
      <c r="N13" s="14"/>
      <c r="O13" s="14"/>
      <c r="P13" s="14"/>
      <c r="Q13" s="14"/>
      <c r="R13" s="14"/>
    </row>
    <row r="14" spans="2:18" x14ac:dyDescent="0.3">
      <c r="B14" s="9">
        <v>2022</v>
      </c>
      <c r="C14" s="13">
        <v>6</v>
      </c>
      <c r="D14" s="9"/>
      <c r="E14" s="12"/>
      <c r="F14" s="12"/>
      <c r="G14" s="3"/>
      <c r="H14" s="5"/>
      <c r="I14" s="5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3">
      <c r="B15" s="9">
        <v>2022</v>
      </c>
      <c r="C15" s="13">
        <v>7</v>
      </c>
      <c r="D15" s="9"/>
      <c r="E15" s="12"/>
      <c r="F15" s="12"/>
      <c r="G15" s="4"/>
      <c r="H15" s="5"/>
      <c r="I15" s="5"/>
      <c r="J15" s="14"/>
      <c r="K15" s="14"/>
      <c r="L15" s="14"/>
      <c r="M15" s="14"/>
      <c r="N15" s="14"/>
      <c r="O15" s="14"/>
      <c r="P15" s="14"/>
      <c r="Q15" s="14"/>
      <c r="R15" s="14"/>
    </row>
    <row r="16" spans="2:18" x14ac:dyDescent="0.3">
      <c r="B16" s="9">
        <v>2022</v>
      </c>
      <c r="C16" s="13">
        <v>8</v>
      </c>
      <c r="D16" s="9"/>
      <c r="E16" s="12"/>
      <c r="F16" s="12"/>
      <c r="G16" s="3"/>
      <c r="H16" s="5"/>
      <c r="I16" s="5"/>
      <c r="J16" s="14"/>
      <c r="K16" s="14"/>
      <c r="L16" s="14"/>
      <c r="M16" s="14"/>
      <c r="N16" s="14"/>
      <c r="O16" s="14"/>
      <c r="P16" s="14"/>
      <c r="Q16" s="14"/>
      <c r="R16" s="14"/>
    </row>
    <row r="17" spans="2:18" x14ac:dyDescent="0.3">
      <c r="B17" s="9">
        <v>2022</v>
      </c>
      <c r="C17" s="13">
        <v>9</v>
      </c>
      <c r="D17" s="9"/>
      <c r="E17" s="12"/>
      <c r="F17" s="12"/>
      <c r="G17" s="3"/>
      <c r="H17" s="5"/>
      <c r="I17" s="5"/>
      <c r="J17" s="14"/>
      <c r="K17" s="14"/>
      <c r="L17" s="14"/>
      <c r="M17" s="14"/>
      <c r="N17" s="14"/>
      <c r="O17" s="14"/>
      <c r="P17" s="14"/>
      <c r="Q17" s="14"/>
      <c r="R17" s="14"/>
    </row>
    <row r="18" spans="2:18" x14ac:dyDescent="0.3">
      <c r="B18" s="9">
        <v>2022</v>
      </c>
      <c r="C18" s="13">
        <v>10</v>
      </c>
      <c r="D18" s="9"/>
      <c r="E18" s="12"/>
      <c r="F18" s="12"/>
      <c r="G18" s="3"/>
      <c r="H18" s="5"/>
      <c r="I18" s="5"/>
      <c r="J18" s="14"/>
      <c r="K18" s="14"/>
      <c r="L18" s="14"/>
      <c r="M18" s="14"/>
      <c r="N18" s="14"/>
      <c r="O18" s="14"/>
      <c r="P18" s="14"/>
      <c r="Q18" s="14"/>
      <c r="R18" s="14"/>
    </row>
    <row r="19" spans="2:18" x14ac:dyDescent="0.3">
      <c r="B19" s="9">
        <v>2022</v>
      </c>
      <c r="C19" s="13">
        <v>11</v>
      </c>
      <c r="D19" s="9"/>
      <c r="E19" s="12"/>
      <c r="F19" s="12"/>
      <c r="G19" s="3"/>
      <c r="H19" s="5"/>
      <c r="I19" s="5"/>
      <c r="J19" s="14"/>
      <c r="K19" s="14"/>
      <c r="L19" s="14"/>
      <c r="M19" s="14"/>
      <c r="N19" s="14"/>
      <c r="O19" s="14"/>
      <c r="P19" s="14"/>
      <c r="Q19" s="14"/>
      <c r="R19" s="14"/>
    </row>
    <row r="20" spans="2:18" x14ac:dyDescent="0.3">
      <c r="B20" s="9">
        <v>2022</v>
      </c>
      <c r="C20" s="13">
        <v>12</v>
      </c>
      <c r="D20" s="6"/>
      <c r="E20" s="14"/>
      <c r="F20" s="14"/>
      <c r="G20" s="5"/>
      <c r="H20" s="5"/>
      <c r="I20" s="5"/>
      <c r="J20" s="14"/>
      <c r="K20" s="14"/>
      <c r="L20" s="14"/>
      <c r="M20" s="14"/>
      <c r="N20" s="14"/>
      <c r="O20" s="14"/>
      <c r="P20" s="14"/>
      <c r="Q20" s="14"/>
      <c r="R20" s="14"/>
    </row>
    <row r="21" spans="2:18" x14ac:dyDescent="0.3">
      <c r="B21" s="13">
        <v>2023</v>
      </c>
      <c r="C21" s="13"/>
      <c r="D21" s="9"/>
      <c r="E21" s="12"/>
      <c r="F21" s="12"/>
      <c r="G21" s="4"/>
      <c r="H21" s="5"/>
      <c r="I21" s="5"/>
      <c r="J21" s="14"/>
      <c r="K21" s="14"/>
      <c r="L21" s="14"/>
      <c r="M21" s="14"/>
      <c r="N21" s="14"/>
      <c r="O21" s="14"/>
      <c r="P21" s="14"/>
      <c r="Q21" s="14"/>
      <c r="R21" s="14"/>
    </row>
    <row r="22" spans="2:18" x14ac:dyDescent="0.3">
      <c r="B22" s="13"/>
      <c r="C22" s="13"/>
      <c r="D22" s="9"/>
      <c r="E22" s="12"/>
      <c r="F22" s="12"/>
      <c r="G22" s="3"/>
      <c r="H22" s="5"/>
      <c r="I22" s="5"/>
      <c r="J22" s="14"/>
      <c r="K22" s="14"/>
      <c r="L22" s="14"/>
      <c r="M22" s="14"/>
      <c r="N22" s="14"/>
      <c r="O22" s="14"/>
      <c r="P22" s="14"/>
      <c r="Q22" s="14"/>
      <c r="R22" s="14"/>
    </row>
    <row r="23" spans="2:18" x14ac:dyDescent="0.3">
      <c r="B23" s="13"/>
      <c r="C23" s="13"/>
      <c r="D23" s="9"/>
      <c r="E23" s="12"/>
      <c r="F23" s="12"/>
      <c r="G23" s="4"/>
      <c r="H23" s="5"/>
      <c r="I23" s="5"/>
      <c r="J23" s="14"/>
      <c r="K23" s="14"/>
      <c r="L23" s="14"/>
      <c r="M23" s="14"/>
      <c r="N23" s="14"/>
      <c r="O23" s="14"/>
      <c r="P23" s="14"/>
      <c r="Q23" s="14"/>
      <c r="R23" s="14"/>
    </row>
    <row r="24" spans="2:18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2:18" x14ac:dyDescent="0.3">
      <c r="B25" s="19"/>
      <c r="C25" s="19"/>
      <c r="E25" s="16">
        <f>SUBTOTAL(9,E4:E23)</f>
        <v>0</v>
      </c>
      <c r="J25" s="16">
        <f>SUBTOTAL(9,J4:J23)</f>
        <v>0</v>
      </c>
      <c r="L25" s="16">
        <f>SUBTOTAL(9,L4:L23)</f>
        <v>0</v>
      </c>
      <c r="N25" s="16">
        <f>SUBTOTAL(9,N4:N23)</f>
        <v>0</v>
      </c>
      <c r="Q25" s="16">
        <f>SUBTOTAL(9,Q4:Q23)</f>
        <v>0</v>
      </c>
    </row>
  </sheetData>
  <autoFilter ref="A3:R3" xr:uid="{00000000-0009-0000-0000-000003000000}"/>
  <mergeCells count="8">
    <mergeCell ref="Q2:R2"/>
    <mergeCell ref="C2:C3"/>
    <mergeCell ref="B2:B3"/>
    <mergeCell ref="D2:H2"/>
    <mergeCell ref="I2:I3"/>
    <mergeCell ref="J2:K2"/>
    <mergeCell ref="L2:M2"/>
    <mergeCell ref="N2:P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B1:K33"/>
  <sheetViews>
    <sheetView zoomScaleNormal="100" workbookViewId="0">
      <selection activeCell="H35" sqref="H35"/>
    </sheetView>
  </sheetViews>
  <sheetFormatPr defaultRowHeight="16.5" x14ac:dyDescent="0.3"/>
  <cols>
    <col min="1" max="1" width="1.75" customWidth="1"/>
    <col min="2" max="3" width="5.5" bestFit="1" customWidth="1"/>
    <col min="4" max="4" width="16.375" bestFit="1" customWidth="1"/>
    <col min="5" max="5" width="9.25" style="2" bestFit="1" customWidth="1"/>
    <col min="6" max="6" width="32.5" style="2" bestFit="1" customWidth="1"/>
    <col min="7" max="7" width="9.25" bestFit="1" customWidth="1"/>
    <col min="8" max="8" width="16.375" bestFit="1" customWidth="1"/>
    <col min="9" max="9" width="9.25" style="2" bestFit="1" customWidth="1"/>
    <col min="10" max="10" width="31.125" bestFit="1" customWidth="1"/>
    <col min="11" max="11" width="9.25" bestFit="1" customWidth="1"/>
  </cols>
  <sheetData>
    <row r="1" spans="2:11" ht="12.75" customHeight="1" x14ac:dyDescent="0.3"/>
    <row r="2" spans="2:11" x14ac:dyDescent="0.3">
      <c r="B2" s="140" t="s">
        <v>9</v>
      </c>
      <c r="C2" s="140" t="s">
        <v>10</v>
      </c>
      <c r="D2" s="140" t="s">
        <v>4</v>
      </c>
      <c r="E2" s="140"/>
      <c r="F2" s="140"/>
      <c r="G2" s="140"/>
      <c r="H2" s="140" t="s">
        <v>7</v>
      </c>
      <c r="I2" s="140"/>
      <c r="J2" s="140"/>
      <c r="K2" s="140"/>
    </row>
    <row r="3" spans="2:11" ht="33" x14ac:dyDescent="0.3">
      <c r="B3" s="140"/>
      <c r="C3" s="140"/>
      <c r="D3" s="22" t="s">
        <v>5</v>
      </c>
      <c r="E3" s="23" t="s">
        <v>6</v>
      </c>
      <c r="F3" s="23" t="s">
        <v>38</v>
      </c>
      <c r="G3" s="24" t="s">
        <v>43</v>
      </c>
      <c r="H3" s="22" t="s">
        <v>5</v>
      </c>
      <c r="I3" s="23" t="s">
        <v>6</v>
      </c>
      <c r="J3" s="23" t="s">
        <v>38</v>
      </c>
      <c r="K3" s="24" t="s">
        <v>43</v>
      </c>
    </row>
    <row r="4" spans="2:11" x14ac:dyDescent="0.3">
      <c r="B4" s="9">
        <v>2017</v>
      </c>
      <c r="C4" s="9" t="s">
        <v>0</v>
      </c>
      <c r="D4" s="6" t="s">
        <v>36</v>
      </c>
      <c r="E4" s="7">
        <v>7459</v>
      </c>
      <c r="F4" s="1" t="s">
        <v>46</v>
      </c>
      <c r="G4" s="7">
        <v>750</v>
      </c>
      <c r="H4" s="9" t="s">
        <v>37</v>
      </c>
      <c r="I4" s="7">
        <v>8310</v>
      </c>
      <c r="J4" s="3" t="s">
        <v>57</v>
      </c>
      <c r="K4" s="7">
        <v>1100</v>
      </c>
    </row>
    <row r="5" spans="2:11" x14ac:dyDescent="0.3">
      <c r="B5" s="9">
        <v>2017</v>
      </c>
      <c r="C5" s="9" t="s">
        <v>1</v>
      </c>
      <c r="D5" s="9" t="s">
        <v>34</v>
      </c>
      <c r="E5" s="7">
        <v>2492</v>
      </c>
      <c r="F5" s="1" t="s">
        <v>47</v>
      </c>
      <c r="G5" s="7">
        <v>363</v>
      </c>
      <c r="H5" s="9" t="s">
        <v>35</v>
      </c>
      <c r="I5" s="7">
        <v>1403</v>
      </c>
      <c r="J5" s="3" t="s">
        <v>58</v>
      </c>
      <c r="K5" s="7">
        <v>549</v>
      </c>
    </row>
    <row r="6" spans="2:11" x14ac:dyDescent="0.3">
      <c r="B6" s="9">
        <v>2017</v>
      </c>
      <c r="C6" s="9" t="s">
        <v>2</v>
      </c>
      <c r="D6" s="9" t="s">
        <v>33</v>
      </c>
      <c r="E6" s="7">
        <v>2943</v>
      </c>
      <c r="F6" s="1" t="s">
        <v>48</v>
      </c>
      <c r="G6" s="7">
        <v>1348</v>
      </c>
      <c r="H6" s="9" t="s">
        <v>44</v>
      </c>
      <c r="I6" s="7" t="s">
        <v>44</v>
      </c>
      <c r="J6" s="3"/>
      <c r="K6" s="7" t="s">
        <v>44</v>
      </c>
    </row>
    <row r="7" spans="2:11" x14ac:dyDescent="0.3">
      <c r="B7" s="9">
        <v>2017</v>
      </c>
      <c r="C7" s="9" t="s">
        <v>3</v>
      </c>
      <c r="D7" s="9" t="s">
        <v>18</v>
      </c>
      <c r="E7" s="7"/>
      <c r="F7" s="1"/>
      <c r="G7" s="7" t="s">
        <v>44</v>
      </c>
      <c r="H7" s="9" t="s">
        <v>32</v>
      </c>
      <c r="I7" s="7">
        <v>1987</v>
      </c>
      <c r="J7" s="3" t="s">
        <v>59</v>
      </c>
      <c r="K7" s="7">
        <v>391</v>
      </c>
    </row>
    <row r="8" spans="2:11" x14ac:dyDescent="0.3">
      <c r="B8" s="8"/>
      <c r="C8" s="8"/>
      <c r="D8" s="8"/>
      <c r="E8" s="25">
        <f>SUM(E4:E7)</f>
        <v>12894</v>
      </c>
      <c r="F8" s="26"/>
      <c r="G8" s="25"/>
      <c r="H8" s="8"/>
      <c r="I8" s="25"/>
      <c r="J8" s="27"/>
      <c r="K8" s="25"/>
    </row>
    <row r="9" spans="2:11" x14ac:dyDescent="0.3">
      <c r="B9" s="9">
        <v>2018</v>
      </c>
      <c r="C9" s="9" t="s">
        <v>0</v>
      </c>
      <c r="D9" s="6" t="s">
        <v>30</v>
      </c>
      <c r="E9" s="7">
        <v>3800</v>
      </c>
      <c r="F9" s="1" t="s">
        <v>49</v>
      </c>
      <c r="G9" s="7">
        <v>430</v>
      </c>
      <c r="H9" s="6" t="s">
        <v>31</v>
      </c>
      <c r="I9" s="7">
        <v>2992</v>
      </c>
      <c r="J9" s="3" t="s">
        <v>60</v>
      </c>
      <c r="K9" s="7">
        <v>411</v>
      </c>
    </row>
    <row r="10" spans="2:11" x14ac:dyDescent="0.3">
      <c r="B10" s="9">
        <v>2018</v>
      </c>
      <c r="C10" s="9" t="s">
        <v>1</v>
      </c>
      <c r="D10" s="9" t="s">
        <v>28</v>
      </c>
      <c r="E10" s="7">
        <v>5933</v>
      </c>
      <c r="F10" s="1" t="s">
        <v>50</v>
      </c>
      <c r="G10" s="7">
        <v>380</v>
      </c>
      <c r="H10" s="9" t="s">
        <v>18</v>
      </c>
      <c r="I10" s="7" t="s">
        <v>18</v>
      </c>
      <c r="J10" s="3"/>
      <c r="K10" s="7"/>
    </row>
    <row r="11" spans="2:11" x14ac:dyDescent="0.3">
      <c r="B11" s="9">
        <v>2018</v>
      </c>
      <c r="C11" s="9" t="s">
        <v>2</v>
      </c>
      <c r="D11" s="9" t="s">
        <v>18</v>
      </c>
      <c r="E11" s="7" t="s">
        <v>18</v>
      </c>
      <c r="F11" s="1"/>
      <c r="G11" s="7">
        <v>1051</v>
      </c>
      <c r="H11" s="9" t="s">
        <v>29</v>
      </c>
      <c r="I11" s="7">
        <v>1272</v>
      </c>
      <c r="J11" s="3" t="s">
        <v>61</v>
      </c>
      <c r="K11" s="7">
        <v>1075</v>
      </c>
    </row>
    <row r="12" spans="2:11" x14ac:dyDescent="0.3">
      <c r="B12" s="9">
        <v>2018</v>
      </c>
      <c r="C12" s="9" t="s">
        <v>3</v>
      </c>
      <c r="D12" s="6" t="s">
        <v>27</v>
      </c>
      <c r="E12" s="7">
        <v>4000</v>
      </c>
      <c r="F12" s="1" t="s">
        <v>51</v>
      </c>
      <c r="G12" s="7">
        <v>380</v>
      </c>
      <c r="H12" s="6" t="s">
        <v>26</v>
      </c>
      <c r="I12" s="7">
        <v>6000</v>
      </c>
      <c r="J12" s="3" t="s">
        <v>62</v>
      </c>
      <c r="K12" s="7">
        <v>322</v>
      </c>
    </row>
    <row r="13" spans="2:11" x14ac:dyDescent="0.3">
      <c r="B13" s="8"/>
      <c r="C13" s="8"/>
      <c r="D13" s="8"/>
      <c r="E13" s="25">
        <f>SUM(E9:E12)</f>
        <v>13733</v>
      </c>
      <c r="F13" s="26"/>
      <c r="G13" s="25"/>
      <c r="H13" s="8"/>
      <c r="I13" s="25"/>
      <c r="J13" s="27"/>
      <c r="K13" s="25"/>
    </row>
    <row r="14" spans="2:11" x14ac:dyDescent="0.3">
      <c r="B14" s="9">
        <v>2019</v>
      </c>
      <c r="C14" s="9" t="s">
        <v>0</v>
      </c>
      <c r="D14" s="6" t="s">
        <v>18</v>
      </c>
      <c r="E14" s="7" t="s">
        <v>18</v>
      </c>
      <c r="F14" s="1"/>
      <c r="G14" s="7" t="s">
        <v>44</v>
      </c>
      <c r="H14" s="9" t="s">
        <v>18</v>
      </c>
      <c r="I14" s="7" t="s">
        <v>18</v>
      </c>
      <c r="J14" s="3"/>
      <c r="K14" s="7" t="s">
        <v>44</v>
      </c>
    </row>
    <row r="15" spans="2:11" x14ac:dyDescent="0.3">
      <c r="B15" s="9">
        <v>2019</v>
      </c>
      <c r="C15" s="9" t="s">
        <v>1</v>
      </c>
      <c r="D15" s="9" t="s">
        <v>25</v>
      </c>
      <c r="E15" s="7">
        <v>4500</v>
      </c>
      <c r="F15" s="1" t="s">
        <v>50</v>
      </c>
      <c r="G15" s="7">
        <v>442</v>
      </c>
      <c r="H15" s="9" t="s">
        <v>18</v>
      </c>
      <c r="I15" s="7" t="s">
        <v>18</v>
      </c>
      <c r="J15" s="3"/>
      <c r="K15" s="7" t="s">
        <v>44</v>
      </c>
    </row>
    <row r="16" spans="2:11" x14ac:dyDescent="0.3">
      <c r="B16" s="9">
        <v>2019</v>
      </c>
      <c r="C16" s="9" t="s">
        <v>2</v>
      </c>
      <c r="D16" s="9" t="s">
        <v>18</v>
      </c>
      <c r="E16" s="7" t="s">
        <v>18</v>
      </c>
      <c r="F16" s="1"/>
      <c r="G16" s="7" t="s">
        <v>44</v>
      </c>
      <c r="H16" s="9" t="s">
        <v>18</v>
      </c>
      <c r="I16" s="7" t="s">
        <v>18</v>
      </c>
      <c r="J16" s="3"/>
      <c r="K16" s="7" t="s">
        <v>44</v>
      </c>
    </row>
    <row r="17" spans="2:11" x14ac:dyDescent="0.3">
      <c r="B17" s="9">
        <v>2019</v>
      </c>
      <c r="C17" s="9" t="s">
        <v>3</v>
      </c>
      <c r="D17" s="9" t="s">
        <v>23</v>
      </c>
      <c r="E17" s="7">
        <v>4349</v>
      </c>
      <c r="F17" s="1" t="s">
        <v>51</v>
      </c>
      <c r="G17" s="7">
        <v>867</v>
      </c>
      <c r="H17" s="9" t="s">
        <v>24</v>
      </c>
      <c r="I17" s="7">
        <v>3849</v>
      </c>
      <c r="J17" s="4" t="s">
        <v>63</v>
      </c>
      <c r="K17" s="7">
        <v>858</v>
      </c>
    </row>
    <row r="18" spans="2:11" x14ac:dyDescent="0.3">
      <c r="B18" s="8"/>
      <c r="C18" s="8"/>
      <c r="D18" s="8"/>
      <c r="E18" s="25">
        <f>SUM(E14:E17)</f>
        <v>8849</v>
      </c>
      <c r="F18" s="26"/>
      <c r="G18" s="25"/>
      <c r="H18" s="8"/>
      <c r="I18" s="25"/>
      <c r="J18" s="27"/>
      <c r="K18" s="25"/>
    </row>
    <row r="19" spans="2:11" x14ac:dyDescent="0.3">
      <c r="B19" s="9">
        <v>2020</v>
      </c>
      <c r="C19" s="9" t="s">
        <v>0</v>
      </c>
      <c r="D19" s="9" t="s">
        <v>18</v>
      </c>
      <c r="E19" s="7" t="s">
        <v>18</v>
      </c>
      <c r="F19" s="1"/>
      <c r="G19" s="7" t="s">
        <v>44</v>
      </c>
      <c r="H19" s="9" t="s">
        <v>18</v>
      </c>
      <c r="I19" s="7" t="s">
        <v>18</v>
      </c>
      <c r="J19" s="3"/>
      <c r="K19" s="7" t="s">
        <v>44</v>
      </c>
    </row>
    <row r="20" spans="2:11" x14ac:dyDescent="0.3">
      <c r="B20" s="9">
        <v>2020</v>
      </c>
      <c r="C20" s="9" t="s">
        <v>1</v>
      </c>
      <c r="D20" s="9" t="s">
        <v>21</v>
      </c>
      <c r="E20" s="7">
        <f>431729*10/1000</f>
        <v>4317.29</v>
      </c>
      <c r="F20" s="1" t="s">
        <v>52</v>
      </c>
      <c r="G20" s="7">
        <v>842</v>
      </c>
      <c r="H20" s="9" t="s">
        <v>22</v>
      </c>
      <c r="I20" s="7">
        <v>1501</v>
      </c>
      <c r="J20" s="3" t="s">
        <v>58</v>
      </c>
      <c r="K20" s="7">
        <v>645</v>
      </c>
    </row>
    <row r="21" spans="2:11" x14ac:dyDescent="0.3">
      <c r="B21" s="9">
        <v>2020</v>
      </c>
      <c r="C21" s="9" t="s">
        <v>2</v>
      </c>
      <c r="D21" s="9" t="s">
        <v>18</v>
      </c>
      <c r="E21" s="7" t="s">
        <v>18</v>
      </c>
      <c r="F21" s="1"/>
      <c r="G21" s="7" t="s">
        <v>44</v>
      </c>
      <c r="H21" s="9" t="s">
        <v>18</v>
      </c>
      <c r="I21" s="7" t="s">
        <v>18</v>
      </c>
      <c r="J21" s="3"/>
      <c r="K21" s="7" t="s">
        <v>44</v>
      </c>
    </row>
    <row r="22" spans="2:11" x14ac:dyDescent="0.3">
      <c r="B22" s="9">
        <v>2020</v>
      </c>
      <c r="C22" s="9" t="s">
        <v>3</v>
      </c>
      <c r="D22" s="6" t="s">
        <v>19</v>
      </c>
      <c r="E22" s="7">
        <v>2000</v>
      </c>
      <c r="F22" s="1" t="s">
        <v>53</v>
      </c>
      <c r="G22" s="7">
        <v>271</v>
      </c>
      <c r="H22" s="9" t="s">
        <v>18</v>
      </c>
      <c r="I22" s="7" t="s">
        <v>18</v>
      </c>
      <c r="J22" s="3"/>
      <c r="K22" s="7" t="s">
        <v>44</v>
      </c>
    </row>
    <row r="23" spans="2:11" x14ac:dyDescent="0.3">
      <c r="B23" s="8"/>
      <c r="C23" s="8"/>
      <c r="D23" s="8"/>
      <c r="E23" s="25">
        <f>SUM(E19:E22)</f>
        <v>6317.29</v>
      </c>
      <c r="F23" s="26"/>
      <c r="G23" s="25"/>
      <c r="H23" s="8"/>
      <c r="I23" s="25"/>
      <c r="J23" s="27"/>
      <c r="K23" s="25"/>
    </row>
    <row r="24" spans="2:11" x14ac:dyDescent="0.3">
      <c r="B24" s="9">
        <v>2021</v>
      </c>
      <c r="C24" s="9" t="s">
        <v>0</v>
      </c>
      <c r="D24" s="6" t="s">
        <v>45</v>
      </c>
      <c r="E24" s="7">
        <v>1000</v>
      </c>
      <c r="F24" s="1" t="s">
        <v>54</v>
      </c>
      <c r="G24" s="7" t="s">
        <v>44</v>
      </c>
      <c r="H24" s="6" t="s">
        <v>20</v>
      </c>
      <c r="I24" s="7">
        <v>2800</v>
      </c>
      <c r="J24" s="4" t="s">
        <v>64</v>
      </c>
      <c r="K24" s="7">
        <v>493</v>
      </c>
    </row>
    <row r="25" spans="2:11" x14ac:dyDescent="0.3">
      <c r="B25" s="9">
        <v>2021</v>
      </c>
      <c r="C25" s="9" t="s">
        <v>0</v>
      </c>
      <c r="D25" s="9" t="s">
        <v>44</v>
      </c>
      <c r="E25" s="7" t="s">
        <v>44</v>
      </c>
      <c r="F25" s="1"/>
      <c r="G25" s="7">
        <v>896</v>
      </c>
      <c r="H25" s="9" t="s">
        <v>8</v>
      </c>
      <c r="I25" s="7">
        <v>3000</v>
      </c>
      <c r="J25" s="3" t="s">
        <v>65</v>
      </c>
      <c r="K25" s="7">
        <v>377</v>
      </c>
    </row>
    <row r="26" spans="2:11" x14ac:dyDescent="0.3">
      <c r="B26" s="9">
        <v>2021</v>
      </c>
      <c r="C26" s="9" t="s">
        <v>1</v>
      </c>
      <c r="D26" s="9" t="s">
        <v>11</v>
      </c>
      <c r="E26" s="7">
        <v>5000</v>
      </c>
      <c r="F26" s="1" t="s">
        <v>52</v>
      </c>
      <c r="G26" s="7">
        <v>493</v>
      </c>
      <c r="H26" s="9" t="s">
        <v>12</v>
      </c>
      <c r="I26" s="7">
        <v>1000</v>
      </c>
      <c r="J26" s="4" t="s">
        <v>58</v>
      </c>
      <c r="K26" s="7">
        <v>420</v>
      </c>
    </row>
    <row r="27" spans="2:11" x14ac:dyDescent="0.3">
      <c r="B27" s="9">
        <v>2021</v>
      </c>
      <c r="C27" s="9" t="s">
        <v>1</v>
      </c>
      <c r="D27" s="9" t="s">
        <v>13</v>
      </c>
      <c r="E27" s="7">
        <v>5000</v>
      </c>
      <c r="F27" s="1" t="s">
        <v>52</v>
      </c>
      <c r="G27" s="7">
        <v>1160</v>
      </c>
      <c r="H27" s="9" t="s">
        <v>18</v>
      </c>
      <c r="I27" s="7" t="s">
        <v>18</v>
      </c>
      <c r="J27" s="3"/>
      <c r="K27" s="7" t="s">
        <v>44</v>
      </c>
    </row>
    <row r="28" spans="2:11" x14ac:dyDescent="0.3">
      <c r="B28" s="9">
        <v>2021</v>
      </c>
      <c r="C28" s="9" t="s">
        <v>2</v>
      </c>
      <c r="D28" s="9" t="s">
        <v>18</v>
      </c>
      <c r="E28" s="7" t="s">
        <v>18</v>
      </c>
      <c r="F28" s="1"/>
      <c r="G28" s="7" t="s">
        <v>44</v>
      </c>
      <c r="H28" s="9" t="s">
        <v>18</v>
      </c>
      <c r="I28" s="7" t="s">
        <v>18</v>
      </c>
      <c r="J28" s="3"/>
      <c r="K28" s="7" t="s">
        <v>44</v>
      </c>
    </row>
    <row r="29" spans="2:11" x14ac:dyDescent="0.3">
      <c r="B29" s="9">
        <v>2021</v>
      </c>
      <c r="C29" s="9" t="s">
        <v>3</v>
      </c>
      <c r="D29" s="9" t="s">
        <v>14</v>
      </c>
      <c r="E29" s="7">
        <v>4050</v>
      </c>
      <c r="F29" s="1" t="s">
        <v>55</v>
      </c>
      <c r="G29" s="7">
        <v>605</v>
      </c>
      <c r="H29" s="9" t="s">
        <v>15</v>
      </c>
      <c r="I29" s="7">
        <v>1000</v>
      </c>
      <c r="J29" s="4" t="s">
        <v>66</v>
      </c>
      <c r="K29" s="7">
        <v>474</v>
      </c>
    </row>
    <row r="30" spans="2:11" x14ac:dyDescent="0.3">
      <c r="B30" s="8"/>
      <c r="C30" s="8"/>
      <c r="D30" s="8"/>
      <c r="E30" s="25">
        <f>SUM(E24:E29)</f>
        <v>15050</v>
      </c>
      <c r="F30" s="26"/>
      <c r="G30" s="25"/>
      <c r="H30" s="8"/>
      <c r="I30" s="25"/>
      <c r="J30" s="27"/>
      <c r="K30" s="25"/>
    </row>
    <row r="31" spans="2:11" x14ac:dyDescent="0.3">
      <c r="B31" s="9">
        <v>2022</v>
      </c>
      <c r="C31" s="9" t="s">
        <v>0</v>
      </c>
      <c r="D31" s="6" t="s">
        <v>16</v>
      </c>
      <c r="E31" s="28">
        <v>3000</v>
      </c>
      <c r="F31" s="29" t="s">
        <v>56</v>
      </c>
      <c r="G31" s="7">
        <v>697</v>
      </c>
      <c r="H31" s="9" t="s">
        <v>17</v>
      </c>
      <c r="I31" s="28">
        <v>1000</v>
      </c>
      <c r="J31" s="4" t="s">
        <v>67</v>
      </c>
      <c r="K31" s="7">
        <v>492</v>
      </c>
    </row>
    <row r="32" spans="2:11" x14ac:dyDescent="0.3">
      <c r="B32" s="9"/>
      <c r="C32" s="9"/>
      <c r="D32" s="9"/>
      <c r="E32" s="7"/>
      <c r="F32" s="1"/>
      <c r="G32" s="7"/>
      <c r="H32" s="9"/>
      <c r="I32" s="7"/>
      <c r="J32" s="3"/>
      <c r="K32" s="7"/>
    </row>
    <row r="33" spans="2:11" x14ac:dyDescent="0.3">
      <c r="B33" s="9"/>
      <c r="C33" s="9"/>
      <c r="D33" s="9"/>
      <c r="E33" s="7"/>
      <c r="F33" s="1"/>
      <c r="G33" s="7"/>
      <c r="H33" s="9"/>
      <c r="I33" s="7"/>
      <c r="J33" s="4"/>
      <c r="K33" s="7"/>
    </row>
  </sheetData>
  <mergeCells count="4">
    <mergeCell ref="D2:G2"/>
    <mergeCell ref="H2:K2"/>
    <mergeCell ref="C2:C3"/>
    <mergeCell ref="B2:B3"/>
  </mergeCells>
  <phoneticPr fontId="1" type="noConversion"/>
  <pageMargins left="0.7" right="0.7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배추</vt:lpstr>
      <vt:lpstr>무</vt:lpstr>
      <vt:lpstr>마늘</vt:lpstr>
      <vt:lpstr>양파</vt:lpstr>
      <vt:lpstr>고추</vt:lpstr>
      <vt:lpstr>수매실적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</cp:lastModifiedBy>
  <cp:lastPrinted>2023-02-20T04:44:49Z</cp:lastPrinted>
  <dcterms:created xsi:type="dcterms:W3CDTF">2022-03-03T07:54:01Z</dcterms:created>
  <dcterms:modified xsi:type="dcterms:W3CDTF">2026-08-27T01:43:27Z</dcterms:modified>
</cp:coreProperties>
</file>